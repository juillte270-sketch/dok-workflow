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261" yWindow="1497" windowWidth="17522" windowHeight="14443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-* #,##0_-;\-* #,##0_-;_-* &quot;-&quot;_-;_-@"/>
    <numFmt numFmtId="165" formatCode="yyyy&quot;년&quot;\ m&quot;월&quot;\ d&quot;일&quot;"/>
    <numFmt numFmtId="166" formatCode="#,##0_);[Red]\(#,##0\)"/>
    <numFmt numFmtId="167" formatCode="yy&quot;-&quot;m&quot;-&quot;d"/>
  </numFmts>
  <fonts count="27">
    <font>
      <name val="Calibri"/>
      <color theme="1"/>
      <sz val="11"/>
      <scheme val="minor"/>
    </font>
    <font>
      <name val="나눔고딕 extrabold"/>
      <charset val="129"/>
      <family val="3"/>
      <color theme="1"/>
      <sz val="22"/>
    </font>
    <font>
      <name val="Noto Sans"/>
      <family val="2"/>
      <b val="1"/>
      <color theme="1"/>
      <sz val="22"/>
    </font>
    <font>
      <name val="나눔고딕"/>
      <charset val="129"/>
      <family val="3"/>
      <color theme="1"/>
      <sz val="22"/>
    </font>
    <font>
      <name val="Dotum"/>
      <charset val="129"/>
      <family val="3"/>
      <b val="1"/>
      <color theme="1"/>
      <sz val="14"/>
    </font>
    <font>
      <name val="Noto Sans"/>
      <family val="2"/>
      <b val="1"/>
      <color theme="1"/>
      <sz val="12"/>
    </font>
    <font>
      <name val="Noto Sans"/>
      <family val="2"/>
      <b val="1"/>
      <color theme="1"/>
      <sz val="8"/>
    </font>
    <font>
      <name val="Noto Sans"/>
      <family val="2"/>
      <color theme="1"/>
      <sz val="8"/>
    </font>
    <font>
      <name val="나눔고딕"/>
      <charset val="129"/>
      <family val="3"/>
      <color theme="1"/>
      <sz val="10"/>
    </font>
    <font>
      <name val="Noto Sans"/>
      <family val="2"/>
      <color theme="1"/>
      <sz val="9"/>
    </font>
    <font>
      <name val="Malgun Gothic"/>
      <charset val="129"/>
      <family val="3"/>
      <color theme="1"/>
      <sz val="7"/>
    </font>
    <font>
      <name val="Noto Sans"/>
      <family val="2"/>
      <b val="1"/>
      <color theme="1"/>
      <sz val="11"/>
    </font>
    <font>
      <name val="나눔고딕"/>
      <charset val="129"/>
      <family val="3"/>
      <color theme="1"/>
      <sz val="8"/>
    </font>
    <font>
      <name val="Malgun Gothic"/>
      <charset val="129"/>
      <family val="3"/>
      <color theme="1"/>
      <sz val="8"/>
    </font>
    <font>
      <name val="나눔고딕"/>
      <charset val="129"/>
      <family val="3"/>
      <b val="1"/>
      <color theme="1"/>
      <sz val="8"/>
    </font>
    <font>
      <name val="나눔고딕 extrabold"/>
      <charset val="129"/>
      <family val="3"/>
      <color theme="1"/>
      <sz val="9"/>
    </font>
    <font>
      <name val="나눔고딕"/>
      <charset val="129"/>
      <family val="3"/>
      <b val="1"/>
      <color theme="1"/>
      <sz val="10"/>
    </font>
    <font>
      <name val="Noto Sans"/>
      <family val="2"/>
      <b val="1"/>
      <color theme="1"/>
      <sz val="10"/>
    </font>
    <font>
      <name val="Dotum"/>
      <charset val="129"/>
      <family val="3"/>
      <b val="1"/>
      <color theme="1"/>
      <sz val="10"/>
    </font>
    <font>
      <name val="Dotum"/>
      <charset val="129"/>
      <family val="3"/>
      <color theme="1"/>
      <sz val="9"/>
    </font>
    <font>
      <name val="Noto Sans"/>
      <family val="2"/>
      <color theme="1"/>
      <sz val="10"/>
    </font>
    <font>
      <name val="나눔고딕 extrabold"/>
      <charset val="129"/>
      <family val="3"/>
      <b val="1"/>
      <color theme="1"/>
      <sz val="12"/>
    </font>
    <font>
      <name val="나눔고딕 extrabold"/>
      <charset val="129"/>
      <family val="3"/>
      <color theme="1"/>
      <sz val="8"/>
    </font>
    <font>
      <name val="Noto Sans"/>
      <family val="2"/>
      <color theme="1"/>
      <sz val="7"/>
    </font>
    <font>
      <name val="Calibri"/>
      <family val="2"/>
      <color theme="1"/>
      <sz val="11"/>
    </font>
    <font>
      <name val="Calibri"/>
      <charset val="129"/>
      <family val="3"/>
      <sz val="8"/>
      <scheme val="minor"/>
    </font>
    <font>
      <name val="Noto Sans"/>
      <charset val="129"/>
      <family val="3"/>
      <b val="1"/>
      <color theme="1"/>
      <sz val="8"/>
    </font>
  </fonts>
  <fills count="4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2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12"/>
  </cellStyleXfs>
  <cellXfs count="9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top"/>
    </xf>
    <xf numFmtId="0" fontId="8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/>
    </xf>
    <xf numFmtId="49" fontId="17" fillId="2" borderId="13" applyAlignment="1" pivotButton="0" quotePrefix="0" xfId="0">
      <alignment vertical="center"/>
    </xf>
    <xf numFmtId="49" fontId="17" fillId="2" borderId="13" applyAlignment="1" pivotButton="0" quotePrefix="0" xfId="0">
      <alignment horizontal="center" vertical="center"/>
    </xf>
    <xf numFmtId="0" fontId="17" fillId="2" borderId="13" applyAlignment="1" pivotButton="0" quotePrefix="0" xfId="0">
      <alignment horizontal="center" vertical="center"/>
    </xf>
    <xf numFmtId="0" fontId="17" fillId="2" borderId="13" applyAlignment="1" pivotButton="0" quotePrefix="0" xfId="0">
      <alignment vertical="center"/>
    </xf>
    <xf numFmtId="0" fontId="18" fillId="2" borderId="13" applyAlignment="1" pivotButton="0" quotePrefix="0" xfId="0">
      <alignment vertical="center"/>
    </xf>
    <xf numFmtId="0" fontId="19" fillId="0" borderId="15" applyAlignment="1" pivotButton="0" quotePrefix="0" xfId="0">
      <alignment vertical="center"/>
    </xf>
    <xf numFmtId="0" fontId="19" fillId="0" borderId="16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19" fillId="0" borderId="17" applyAlignment="1" pivotButton="0" quotePrefix="0" xfId="0">
      <alignment vertical="center"/>
    </xf>
    <xf numFmtId="0" fontId="19" fillId="0" borderId="17" applyAlignment="1" pivotButton="0" quotePrefix="0" xfId="0">
      <alignment horizontal="center" vertical="center"/>
    </xf>
    <xf numFmtId="3" fontId="21" fillId="2" borderId="18" applyAlignment="1" pivotButton="0" quotePrefix="0" xfId="0">
      <alignment horizontal="center" vertical="center"/>
    </xf>
    <xf numFmtId="49" fontId="12" fillId="0" borderId="0" applyAlignment="1" pivotButton="0" quotePrefix="0" xfId="0">
      <alignment horizontal="left" vertical="center"/>
    </xf>
    <xf numFmtId="0" fontId="17" fillId="2" borderId="13" applyAlignment="1" pivotButton="0" quotePrefix="0" xfId="0">
      <alignment horizontal="left" vertical="center"/>
    </xf>
    <xf numFmtId="0" fontId="22" fillId="2" borderId="13" applyAlignment="1" pivotButton="0" quotePrefix="0" xfId="0">
      <alignment horizontal="left" vertical="center"/>
    </xf>
    <xf numFmtId="0" fontId="7" fillId="0" borderId="17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12" fillId="0" borderId="15" applyAlignment="1" pivotButton="0" quotePrefix="0" xfId="0">
      <alignment horizontal="left" vertical="center"/>
    </xf>
    <xf numFmtId="0" fontId="24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9" fillId="0" borderId="0" applyAlignment="1" pivotButton="0" quotePrefix="0" xfId="0">
      <alignment horizontal="center" vertical="center"/>
    </xf>
    <xf numFmtId="0" fontId="7" fillId="0" borderId="12" applyAlignment="1" pivotButton="0" quotePrefix="0" xfId="0">
      <alignment vertical="center"/>
    </xf>
    <xf numFmtId="0" fontId="19" fillId="0" borderId="15" applyAlignment="1" pivotButton="0" quotePrefix="0" xfId="0">
      <alignment horizontal="left" vertical="center"/>
    </xf>
    <xf numFmtId="3" fontId="9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26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7" fillId="0" borderId="5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164" fontId="11" fillId="0" borderId="2" applyAlignment="1" pivotButton="0" quotePrefix="0" xfId="0">
      <alignment horizontal="right" vertical="center"/>
    </xf>
    <xf numFmtId="165" fontId="12" fillId="0" borderId="1" applyAlignment="1" pivotButton="0" quotePrefix="0" xfId="0">
      <alignment horizontal="left" vertical="center"/>
    </xf>
    <xf numFmtId="166" fontId="9" fillId="0" borderId="0" applyAlignment="1" pivotButton="0" quotePrefix="0" xfId="0">
      <alignment horizontal="center" vertical="center"/>
    </xf>
    <xf numFmtId="166" fontId="21" fillId="2" borderId="18" applyAlignment="1" pivotButton="0" quotePrefix="0" xfId="0">
      <alignment horizontal="right" vertical="center"/>
    </xf>
    <xf numFmtId="164" fontId="7" fillId="0" borderId="17" applyAlignment="1" pivotButton="0" quotePrefix="0" xfId="0">
      <alignment vertical="center"/>
    </xf>
    <xf numFmtId="167" fontId="19" fillId="0" borderId="0" applyAlignment="1" pivotButton="0" quotePrefix="0" xfId="0">
      <alignment horizontal="center" vertical="center"/>
    </xf>
    <xf numFmtId="0" fontId="23" fillId="0" borderId="16" applyAlignment="1" pivotButton="0" quotePrefix="0" xfId="0">
      <alignment horizontal="left" vertical="center"/>
    </xf>
    <xf numFmtId="0" fontId="0" fillId="0" borderId="16" pivotButton="0" quotePrefix="0" xfId="0"/>
    <xf numFmtId="0" fontId="19" fillId="0" borderId="15" applyAlignment="1" pivotButton="0" quotePrefix="0" xfId="0">
      <alignment horizontal="center" vertical="center"/>
    </xf>
    <xf numFmtId="0" fontId="0" fillId="0" borderId="15" pivotButton="0" quotePrefix="0" xfId="0"/>
    <xf numFmtId="0" fontId="19" fillId="0" borderId="12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6" applyAlignment="1" pivotButton="0" quotePrefix="0" xfId="0">
      <alignment horizontal="center" vertical="center"/>
    </xf>
    <xf numFmtId="0" fontId="0" fillId="0" borderId="6" pivotButton="0" quotePrefix="0" xfId="0"/>
    <xf numFmtId="164" fontId="11" fillId="0" borderId="6" applyAlignment="1" pivotButton="0" quotePrefix="0" xfId="0">
      <alignment horizontal="center" vertical="center"/>
    </xf>
    <xf numFmtId="166" fontId="20" fillId="0" borderId="17" applyAlignment="1" pivotButton="0" quotePrefix="0" xfId="0">
      <alignment horizontal="center" vertical="center"/>
    </xf>
    <xf numFmtId="0" fontId="0" fillId="0" borderId="17" pivotButton="0" quotePrefix="0" xfId="0"/>
    <xf numFmtId="0" fontId="6" fillId="0" borderId="5" applyAlignment="1" pivotButton="0" quotePrefix="0" xfId="0">
      <alignment horizontal="center" vertical="center"/>
    </xf>
    <xf numFmtId="0" fontId="0" fillId="0" borderId="8" pivotButton="0" quotePrefix="0" xfId="0"/>
    <xf numFmtId="164" fontId="7" fillId="0" borderId="16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4" fillId="0" borderId="19" applyAlignment="1" pivotButton="0" quotePrefix="0" xfId="0">
      <alignment horizontal="center" vertical="center" wrapText="1"/>
    </xf>
    <xf numFmtId="49" fontId="21" fillId="2" borderId="18" applyAlignment="1" pivotButton="0" quotePrefix="0" xfId="0">
      <alignment horizontal="center" vertical="center"/>
    </xf>
    <xf numFmtId="0" fontId="0" fillId="0" borderId="18" pivotButton="0" quotePrefix="0" xfId="0"/>
    <xf numFmtId="0" fontId="10" fillId="0" borderId="5" applyAlignment="1" pivotButton="0" quotePrefix="0" xfId="0">
      <alignment horizontal="center" vertical="center"/>
    </xf>
    <xf numFmtId="0" fontId="0" fillId="0" borderId="4" pivotButton="0" quotePrefix="0" xfId="0"/>
    <xf numFmtId="0" fontId="13" fillId="0" borderId="16" applyAlignment="1" pivotButton="0" quotePrefix="0" xfId="0">
      <alignment horizontal="left" vertical="center"/>
    </xf>
    <xf numFmtId="0" fontId="5" fillId="2" borderId="5" applyAlignment="1" pivotButton="0" quotePrefix="0" xfId="0">
      <alignment horizontal="center" vertical="center"/>
    </xf>
    <xf numFmtId="0" fontId="0" fillId="0" borderId="3" pivotButton="0" quotePrefix="0" xfId="0"/>
    <xf numFmtId="0" fontId="7" fillId="0" borderId="5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166" fontId="20" fillId="0" borderId="12" applyAlignment="1" pivotButton="0" quotePrefix="0" xfId="0">
      <alignment horizontal="center" vertical="center"/>
    </xf>
    <xf numFmtId="0" fontId="17" fillId="2" borderId="14" applyAlignment="1" pivotButton="0" quotePrefix="0" xfId="0">
      <alignment horizontal="center" vertical="center"/>
    </xf>
    <xf numFmtId="0" fontId="0" fillId="0" borderId="14" pivotButton="0" quotePrefix="0" xfId="0"/>
    <xf numFmtId="165" fontId="7" fillId="0" borderId="6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13" fillId="0" borderId="5" applyAlignment="1" pivotButton="0" quotePrefix="0" xfId="0">
      <alignment vertical="center"/>
    </xf>
    <xf numFmtId="166" fontId="21" fillId="2" borderId="18" applyAlignment="1" pivotButton="0" quotePrefix="0" xfId="0">
      <alignment horizontal="center" vertical="center"/>
    </xf>
    <xf numFmtId="0" fontId="26" fillId="0" borderId="6" applyAlignment="1" pivotButton="0" quotePrefix="0" xfId="0">
      <alignment horizontal="center" vertical="center"/>
    </xf>
    <xf numFmtId="0" fontId="15" fillId="3" borderId="12" applyAlignment="1" pivotButton="0" quotePrefix="0" xfId="0">
      <alignment horizontal="left" vertical="center"/>
    </xf>
    <xf numFmtId="165" fontId="7" fillId="0" borderId="6" applyAlignment="1" pivotButton="0" quotePrefix="0" xfId="0">
      <alignment horizontal="center" vertical="center"/>
    </xf>
    <xf numFmtId="164" fontId="11" fillId="0" borderId="6" applyAlignment="1" pivotButton="0" quotePrefix="0" xfId="0">
      <alignment horizontal="center" vertical="center"/>
    </xf>
    <xf numFmtId="164" fontId="11" fillId="0" borderId="2" applyAlignment="1" pivotButton="0" quotePrefix="0" xfId="0">
      <alignment horizontal="right" vertical="center"/>
    </xf>
    <xf numFmtId="165" fontId="12" fillId="0" borderId="1" applyAlignment="1" pivotButton="0" quotePrefix="0" xfId="0">
      <alignment horizontal="left" vertical="center"/>
    </xf>
    <xf numFmtId="166" fontId="9" fillId="0" borderId="0" applyAlignment="1" pivotButton="0" quotePrefix="0" xfId="0">
      <alignment horizontal="center" vertical="center"/>
    </xf>
    <xf numFmtId="166" fontId="20" fillId="0" borderId="12" applyAlignment="1" pivotButton="0" quotePrefix="0" xfId="0">
      <alignment horizontal="center" vertical="center"/>
    </xf>
    <xf numFmtId="166" fontId="20" fillId="0" borderId="17" applyAlignment="1" pivotButton="0" quotePrefix="0" xfId="0">
      <alignment horizontal="center" vertical="center"/>
    </xf>
    <xf numFmtId="166" fontId="21" fillId="2" borderId="18" applyAlignment="1" pivotButton="0" quotePrefix="0" xfId="0">
      <alignment horizontal="center" vertical="center"/>
    </xf>
    <xf numFmtId="166" fontId="21" fillId="2" borderId="18" applyAlignment="1" pivotButton="0" quotePrefix="0" xfId="0">
      <alignment horizontal="right" vertical="center"/>
    </xf>
    <xf numFmtId="164" fontId="7" fillId="0" borderId="16" applyAlignment="1" pivotButton="0" quotePrefix="0" xfId="0">
      <alignment horizontal="center" vertical="center"/>
    </xf>
    <xf numFmtId="164" fontId="7" fillId="0" borderId="17" applyAlignment="1" pivotButton="0" quotePrefix="0" xfId="0">
      <alignment vertical="center"/>
    </xf>
    <xf numFmtId="167" fontId="19" fillId="0" borderId="0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390525</colOff>
      <row>8</row>
      <rowOff>95250</rowOff>
    </from>
    <ext cx="1962150" cy="628650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</col>
      <colOff>390525</colOff>
      <row>8</row>
      <rowOff>95250</rowOff>
    </from>
    <ext cx="1962150" cy="628650"/>
    <pic>
      <nvPicPr>
        <cNvPr id="3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tabSelected="1" workbookViewId="0">
      <selection activeCell="O27" sqref="O27"/>
    </sheetView>
  </sheetViews>
  <sheetFormatPr baseColWidth="8" defaultColWidth="14.42578125" defaultRowHeight="15" customHeight="1"/>
  <cols>
    <col width="1.7109375" customWidth="1" style="49" min="1" max="1"/>
    <col width="20.140625" customWidth="1" style="49" min="2" max="2"/>
    <col hidden="1" width="5.85546875" customWidth="1" style="49" min="3" max="3"/>
    <col width="5.85546875" customWidth="1" style="49" min="4" max="5"/>
    <col width="1.28515625" customWidth="1" style="49" min="6" max="6"/>
    <col width="1.7109375" customWidth="1" style="49" min="7" max="8"/>
    <col width="3.5703125" customWidth="1" style="49" min="9" max="9"/>
    <col width="12.28515625" customWidth="1" style="49" min="10" max="10"/>
    <col width="11.7109375" customWidth="1" style="49" min="11" max="11"/>
    <col width="7.42578125" customWidth="1" style="49" min="12" max="12"/>
    <col width="2.7109375" customWidth="1" style="49" min="13" max="13"/>
    <col width="10" customWidth="1" style="49" min="14" max="14"/>
  </cols>
  <sheetData>
    <row r="1" ht="21.75" customHeight="1" s="49">
      <c r="A1" s="1" t="n"/>
      <c r="B1" s="58" t="inlineStr">
        <is>
          <t>거    래    명    세    표</t>
        </is>
      </c>
      <c r="C1" s="59" t="n"/>
      <c r="D1" s="59" t="n"/>
      <c r="E1" s="59" t="n"/>
      <c r="F1" s="59" t="n"/>
      <c r="G1" s="59" t="n"/>
      <c r="H1" s="59" t="n"/>
      <c r="I1" s="59" t="n"/>
      <c r="J1" s="59" t="n"/>
      <c r="K1" s="59" t="n"/>
      <c r="L1" s="59" t="n"/>
      <c r="M1" s="59" t="n"/>
      <c r="N1" s="59" t="n"/>
    </row>
    <row r="2" ht="21.75" customHeight="1" s="49">
      <c r="A2" s="1" t="n"/>
      <c r="B2" s="60" t="n"/>
      <c r="C2" s="60" t="n"/>
      <c r="D2" s="60" t="n"/>
      <c r="E2" s="60" t="n"/>
      <c r="F2" s="60" t="n"/>
      <c r="G2" s="60" t="n"/>
      <c r="H2" s="60" t="n"/>
      <c r="I2" s="60" t="n"/>
      <c r="J2" s="60" t="n"/>
      <c r="K2" s="60" t="n"/>
      <c r="L2" s="60" t="n"/>
      <c r="M2" s="60" t="n"/>
      <c r="N2" s="60" t="n"/>
    </row>
    <row r="3" ht="9.449999999999999" customHeight="1" s="49">
      <c r="A3" s="1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ht="21.75" customHeight="1" s="49">
      <c r="A4" s="3" t="inlineStr">
        <is>
          <t xml:space="preserve"> </t>
        </is>
      </c>
      <c r="B4" s="61" t="inlineStr">
        <is>
          <t>부엉이산장 강남점</t>
        </is>
      </c>
      <c r="C4" s="59" t="n"/>
      <c r="D4" s="59" t="n"/>
      <c r="E4" s="59" t="n"/>
      <c r="F4" s="59" t="n"/>
      <c r="G4" s="59" t="n"/>
      <c r="H4" s="59" t="n"/>
      <c r="I4" s="59" t="n"/>
      <c r="J4" s="67" t="inlineStr">
        <is>
          <t>공 급 자</t>
        </is>
      </c>
      <c r="K4" s="68" t="n"/>
      <c r="L4" s="68" t="n"/>
      <c r="M4" s="68" t="n"/>
      <c r="N4" s="65" t="n"/>
    </row>
    <row r="5" ht="15" customHeight="1" s="49">
      <c r="A5" s="1" t="n"/>
      <c r="B5" s="60" t="n"/>
      <c r="C5" s="60" t="n"/>
      <c r="D5" s="60" t="n"/>
      <c r="E5" s="60" t="n"/>
      <c r="F5" s="60" t="n"/>
      <c r="G5" s="60" t="n"/>
      <c r="H5" s="60" t="n"/>
      <c r="I5" s="60" t="n"/>
      <c r="J5" s="55" t="inlineStr">
        <is>
          <t>상호</t>
        </is>
      </c>
      <c r="K5" s="78" t="inlineStr">
        <is>
          <t>주식회사 도크</t>
        </is>
      </c>
      <c r="L5" s="33" t="inlineStr">
        <is>
          <t>대표자</t>
        </is>
      </c>
      <c r="M5" s="78" t="inlineStr">
        <is>
          <t>한승현, 동관도</t>
        </is>
      </c>
      <c r="N5" s="65" t="n"/>
    </row>
    <row r="6" ht="17.3" customHeight="1" s="49">
      <c r="A6" s="4" t="n"/>
      <c r="B6" s="50" t="inlineStr">
        <is>
          <t>거래일</t>
        </is>
      </c>
      <c r="C6" s="51" t="n"/>
      <c r="D6" s="84" t="inlineStr">
        <is>
          <t>2026년 01월 30일</t>
        </is>
      </c>
      <c r="E6" s="51" t="n"/>
      <c r="F6" s="51" t="n"/>
      <c r="G6" s="51" t="n"/>
      <c r="H6" s="51" t="n"/>
      <c r="I6" s="51" t="n"/>
      <c r="J6" s="55" t="inlineStr">
        <is>
          <t>등록번호</t>
        </is>
      </c>
      <c r="K6" s="79" t="inlineStr">
        <is>
          <t>172-86-02461</t>
        </is>
      </c>
      <c r="L6" s="68" t="n"/>
      <c r="M6" s="68" t="n"/>
      <c r="N6" s="65" t="n"/>
    </row>
    <row r="7" ht="17.3" customHeight="1" s="49">
      <c r="A7" s="4" t="n"/>
      <c r="B7" s="82" t="inlineStr">
        <is>
          <t>아래와 같이 계산합니다.</t>
        </is>
      </c>
      <c r="C7" s="51" t="n"/>
      <c r="D7" s="51" t="n"/>
      <c r="E7" s="51" t="n"/>
      <c r="F7" s="51" t="n"/>
      <c r="G7" s="51" t="n"/>
      <c r="H7" s="51" t="n"/>
      <c r="I7" s="51" t="n"/>
      <c r="J7" s="55" t="inlineStr">
        <is>
          <t>업태</t>
        </is>
      </c>
      <c r="K7" s="64" t="inlineStr">
        <is>
          <t>농업</t>
        </is>
      </c>
      <c r="L7" s="55" t="inlineStr">
        <is>
          <t>종목</t>
        </is>
      </c>
      <c r="M7" s="64" t="inlineStr">
        <is>
          <t>작물재배 서비스업</t>
        </is>
      </c>
      <c r="N7" s="65" t="n"/>
    </row>
    <row r="8" ht="18" customHeight="1" s="49">
      <c r="A8" s="4" t="n"/>
      <c r="B8" s="50" t="inlineStr">
        <is>
          <t>합계금액</t>
        </is>
      </c>
      <c r="C8" s="51" t="n"/>
      <c r="D8" s="85">
        <f>K33</f>
        <v/>
      </c>
      <c r="E8" s="51" t="n"/>
      <c r="F8" s="51" t="n"/>
      <c r="G8" s="51" t="n"/>
      <c r="H8" s="51" t="n"/>
      <c r="I8" s="86" t="inlineStr">
        <is>
          <t>원</t>
        </is>
      </c>
      <c r="J8" s="55" t="inlineStr">
        <is>
          <t>주소</t>
        </is>
      </c>
      <c r="K8" s="69" t="inlineStr">
        <is>
          <t>경기도 화성시 안녕남로 87-21</t>
        </is>
      </c>
      <c r="L8" s="59" t="n"/>
      <c r="M8" s="59" t="n"/>
      <c r="N8" s="70" t="n"/>
    </row>
    <row r="9" ht="17.3" customHeight="1" s="49">
      <c r="A9" s="4" t="n"/>
      <c r="B9" s="4" t="n"/>
      <c r="C9" s="4" t="n"/>
      <c r="D9" s="4" t="n"/>
      <c r="E9" s="4" t="n"/>
      <c r="F9" s="4" t="n"/>
      <c r="G9" s="4" t="n"/>
      <c r="H9" s="4" t="n"/>
      <c r="I9" s="5" t="inlineStr">
        <is>
          <t xml:space="preserve"> </t>
        </is>
      </c>
      <c r="J9" s="56" t="n"/>
      <c r="K9" s="71" t="n"/>
      <c r="L9" s="72" t="n"/>
      <c r="M9" s="72" t="n"/>
      <c r="N9" s="73" t="n"/>
    </row>
    <row r="10" ht="32.3" customHeight="1" s="49">
      <c r="A10" s="4" t="n"/>
      <c r="B10" s="4" t="n"/>
      <c r="C10" s="4" t="n"/>
      <c r="D10" s="4" t="n"/>
      <c r="E10" s="4" t="n"/>
      <c r="F10" s="4" t="n"/>
      <c r="G10" s="4" t="n"/>
      <c r="H10" s="5" t="n"/>
      <c r="I10" s="4" t="n"/>
      <c r="J10" s="55" t="inlineStr">
        <is>
          <t>전화</t>
        </is>
      </c>
      <c r="K10" s="78" t="inlineStr">
        <is>
          <t>010-3545-2460</t>
        </is>
      </c>
      <c r="L10" s="55" t="inlineStr">
        <is>
          <t>이메일</t>
        </is>
      </c>
      <c r="M10" s="80" t="inlineStr">
        <is>
          <t>help@dokh.co.kr</t>
        </is>
      </c>
      <c r="N10" s="65" t="n"/>
    </row>
    <row r="11" ht="17.3" customHeight="1" s="49">
      <c r="A11" s="4" t="n"/>
      <c r="B11" s="5" t="n"/>
      <c r="C11" s="6" t="n"/>
      <c r="D11" s="6" t="n"/>
      <c r="E11" s="6" t="n"/>
      <c r="F11" s="6" t="n"/>
      <c r="G11" s="6" t="n"/>
      <c r="H11" s="5" t="n"/>
      <c r="I11" s="5" t="n"/>
      <c r="J11" s="87" t="n"/>
      <c r="K11" s="5" t="n"/>
      <c r="L11" s="5" t="n"/>
      <c r="M11" s="5" t="n"/>
      <c r="N11" s="7" t="n"/>
    </row>
    <row r="12" ht="7.5" customHeight="1" s="49">
      <c r="A12" s="5" t="n"/>
      <c r="B12" s="83" t="inlineStr">
        <is>
          <t>계좌번호 : 기업은행 / 239-140355-04-014 / 주식회사 도크</t>
        </is>
      </c>
    </row>
    <row r="13" ht="11.25" customHeight="1" s="49">
      <c r="A13" s="5" t="n"/>
    </row>
    <row r="14" ht="17.3" customHeight="1" s="49">
      <c r="A14" s="6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</row>
    <row r="15" ht="17.3" customHeight="1" s="49">
      <c r="A15" s="5" t="n"/>
      <c r="B15" s="9" t="inlineStr">
        <is>
          <t>품명</t>
        </is>
      </c>
      <c r="C15" s="9" t="n"/>
      <c r="D15" s="9" t="inlineStr">
        <is>
          <t>규격</t>
        </is>
      </c>
      <c r="E15" s="9" t="inlineStr">
        <is>
          <t xml:space="preserve">수량 </t>
        </is>
      </c>
      <c r="F15" s="75" t="inlineStr">
        <is>
          <t>원산지</t>
        </is>
      </c>
      <c r="G15" s="76" t="n"/>
      <c r="H15" s="76" t="n"/>
      <c r="I15" s="76" t="n"/>
      <c r="J15" s="10" t="inlineStr">
        <is>
          <t xml:space="preserve">단가 </t>
        </is>
      </c>
      <c r="K15" s="11" t="inlineStr">
        <is>
          <t xml:space="preserve">공급가액 </t>
        </is>
      </c>
      <c r="L15" s="12" t="n"/>
      <c r="M15" s="13" t="inlineStr">
        <is>
          <t>비고</t>
        </is>
      </c>
      <c r="N15" s="13" t="n"/>
    </row>
    <row r="16" ht="17.3" customHeight="1" s="49">
      <c r="A16" s="5" t="n"/>
      <c r="B16" s="30" t="inlineStr">
        <is>
          <t>감자</t>
        </is>
      </c>
      <c r="C16" s="15" t="n"/>
      <c r="D16" s="15" t="inlineStr">
        <is>
          <t>kg</t>
        </is>
      </c>
      <c r="E16" s="15" t="n">
        <v>15</v>
      </c>
      <c r="F16" s="46" t="inlineStr">
        <is>
          <t>국내산</t>
        </is>
      </c>
      <c r="G16" s="47" t="n"/>
      <c r="H16" s="47" t="n"/>
      <c r="I16" s="47" t="n"/>
      <c r="J16" s="88" t="n"/>
      <c r="K16" s="31">
        <f>E16*J16</f>
        <v/>
      </c>
      <c r="L16" s="46" t="n"/>
      <c r="M16" s="47" t="n"/>
      <c r="N16" s="47" t="n"/>
      <c r="O16" s="14" t="n"/>
      <c r="P16" s="14" t="n"/>
    </row>
    <row r="17" ht="17.3" customHeight="1" s="49">
      <c r="A17" s="5" t="n"/>
      <c r="B17" s="32" t="inlineStr">
        <is>
          <t>깐양파</t>
        </is>
      </c>
      <c r="C17" s="15" t="n"/>
      <c r="D17" s="15" t="inlineStr">
        <is>
          <t>kg</t>
        </is>
      </c>
      <c r="E17" s="15" t="n">
        <v>7</v>
      </c>
      <c r="F17" s="46" t="inlineStr">
        <is>
          <t>국내산</t>
        </is>
      </c>
      <c r="G17" s="47" t="n"/>
      <c r="H17" s="47" t="n"/>
      <c r="I17" s="47" t="n"/>
      <c r="J17" s="88" t="n"/>
      <c r="K17" s="31">
        <f>E17*J17</f>
        <v/>
      </c>
      <c r="L17" s="48" t="n"/>
      <c r="O17" s="16" t="n"/>
      <c r="P17" s="16" t="n"/>
    </row>
    <row r="18" ht="17.3" customHeight="1" s="49">
      <c r="A18" s="5" t="n"/>
      <c r="B18" s="32" t="inlineStr">
        <is>
          <t>배추</t>
        </is>
      </c>
      <c r="C18" s="15" t="n"/>
      <c r="D18" s="15" t="inlineStr">
        <is>
          <t>통</t>
        </is>
      </c>
      <c r="E18" s="15" t="n">
        <v>1</v>
      </c>
      <c r="F18" s="46" t="inlineStr">
        <is>
          <t>국내산</t>
        </is>
      </c>
      <c r="G18" s="47" t="n"/>
      <c r="H18" s="47" t="n"/>
      <c r="I18" s="47" t="n"/>
      <c r="J18" s="88" t="n"/>
      <c r="K18" s="31">
        <f>E18*J18</f>
        <v/>
      </c>
      <c r="L18" s="48" t="n"/>
      <c r="O18" s="16" t="n"/>
      <c r="P18" s="16" t="n"/>
    </row>
    <row r="19" ht="17.3" customHeight="1" s="49">
      <c r="A19" s="5" t="n"/>
      <c r="B19" s="32" t="inlineStr">
        <is>
          <t>깐쪽파</t>
        </is>
      </c>
      <c r="C19" s="15" t="n"/>
      <c r="D19" s="15" t="inlineStr">
        <is>
          <t>kg</t>
        </is>
      </c>
      <c r="E19" s="15" t="n">
        <v>1</v>
      </c>
      <c r="F19" s="46" t="inlineStr">
        <is>
          <t>국내산</t>
        </is>
      </c>
      <c r="G19" s="47" t="n"/>
      <c r="H19" s="47" t="n"/>
      <c r="I19" s="47" t="n"/>
      <c r="J19" s="88" t="n"/>
      <c r="K19" s="31">
        <f>E19*J19</f>
        <v/>
      </c>
      <c r="L19" s="48" t="n"/>
      <c r="O19" s="16" t="n"/>
      <c r="P19" s="16" t="n"/>
    </row>
    <row r="20" ht="17.3" customHeight="1" s="49">
      <c r="A20" s="5" t="n"/>
      <c r="B20" s="16" t="inlineStr">
        <is>
          <t>깐대파</t>
        </is>
      </c>
      <c r="C20" s="15" t="n"/>
      <c r="D20" s="15" t="inlineStr">
        <is>
          <t>kg</t>
        </is>
      </c>
      <c r="E20" s="15" t="n">
        <v>5</v>
      </c>
      <c r="F20" s="46" t="inlineStr">
        <is>
          <t>국내산</t>
        </is>
      </c>
      <c r="G20" s="47" t="n"/>
      <c r="H20" s="47" t="n"/>
      <c r="I20" s="47" t="n"/>
      <c r="J20" s="88" t="n"/>
      <c r="K20" s="88">
        <f>E20*J20</f>
        <v/>
      </c>
      <c r="L20" s="88" t="n"/>
      <c r="M20" s="88" t="n"/>
      <c r="N20" s="88" t="n"/>
      <c r="O20" s="16" t="n"/>
      <c r="P20" s="16" t="n"/>
    </row>
    <row r="21" ht="17.3" customHeight="1" s="49">
      <c r="A21" s="5" t="n"/>
      <c r="B21" s="16" t="inlineStr">
        <is>
          <t>청양고추</t>
        </is>
      </c>
      <c r="C21" s="15" t="n"/>
      <c r="D21" s="15" t="inlineStr">
        <is>
          <t>kg</t>
        </is>
      </c>
      <c r="E21" s="15" t="n">
        <v>1</v>
      </c>
      <c r="F21" s="46" t="inlineStr">
        <is>
          <t>국내산</t>
        </is>
      </c>
      <c r="G21" s="47" t="n"/>
      <c r="H21" s="47" t="n"/>
      <c r="I21" s="47" t="n"/>
      <c r="J21" s="88" t="n"/>
      <c r="K21" s="88">
        <f>E21*J21</f>
        <v/>
      </c>
      <c r="L21" s="48" t="n"/>
      <c r="O21" s="16" t="n"/>
      <c r="P21" s="16" t="n"/>
    </row>
    <row r="22" ht="17.3" customHeight="1" s="49">
      <c r="A22" s="5" t="n"/>
      <c r="B22" s="16" t="n"/>
      <c r="C22" s="15" t="n"/>
      <c r="D22" s="15" t="n"/>
      <c r="E22" s="15" t="n"/>
      <c r="F22" s="46" t="n"/>
      <c r="G22" s="47" t="n"/>
      <c r="H22" s="47" t="n"/>
      <c r="I22" s="47" t="n"/>
      <c r="J22" s="88" t="n"/>
      <c r="K22" s="88" t="n"/>
      <c r="L22" s="48" t="n"/>
      <c r="O22" s="16" t="n"/>
      <c r="P22" s="16" t="n"/>
    </row>
    <row r="23" ht="17.3" customHeight="1" s="49">
      <c r="A23" s="5" t="n"/>
      <c r="B23" s="16" t="n"/>
      <c r="C23" s="15" t="n"/>
      <c r="D23" s="15" t="n"/>
      <c r="E23" s="15" t="n"/>
      <c r="F23" s="46" t="n"/>
      <c r="G23" s="47" t="n"/>
      <c r="H23" s="47" t="n"/>
      <c r="I23" s="47" t="n"/>
      <c r="J23" s="88" t="n"/>
      <c r="K23" s="88" t="n"/>
      <c r="L23" s="48" t="n"/>
      <c r="O23" s="16" t="n"/>
      <c r="P23" s="16" t="n"/>
    </row>
    <row r="24" ht="17.3" customHeight="1" s="49">
      <c r="A24" s="5" t="n"/>
      <c r="B24" s="16" t="n"/>
      <c r="C24" s="15" t="n"/>
      <c r="D24" s="15" t="n"/>
      <c r="E24" s="15" t="n"/>
      <c r="F24" s="46" t="n"/>
      <c r="G24" s="47" t="n"/>
      <c r="H24" s="47" t="n"/>
      <c r="I24" s="47" t="n"/>
      <c r="J24" s="88" t="n"/>
      <c r="K24" s="88" t="n"/>
      <c r="L24" s="48" t="n"/>
      <c r="O24" s="16" t="n"/>
      <c r="P24" s="16" t="n"/>
    </row>
    <row r="25" ht="17.3" customHeight="1" s="49">
      <c r="A25" s="5" t="n"/>
      <c r="B25" s="16" t="n"/>
      <c r="C25" s="15" t="n"/>
      <c r="D25" s="15" t="n"/>
      <c r="E25" s="15" t="n"/>
      <c r="F25" s="46" t="n"/>
      <c r="G25" s="47" t="n"/>
      <c r="H25" s="47" t="n"/>
      <c r="I25" s="47" t="n"/>
      <c r="J25" s="88" t="n"/>
      <c r="K25" s="88" t="n"/>
      <c r="L25" s="48" t="n"/>
      <c r="O25" s="16" t="n"/>
      <c r="P25" s="16" t="n"/>
    </row>
    <row r="26" ht="17.3" customHeight="1" s="49">
      <c r="A26" s="5" t="n"/>
      <c r="B26" s="16" t="n"/>
      <c r="C26" s="15" t="n"/>
      <c r="D26" s="15" t="n"/>
      <c r="E26" s="15" t="n"/>
      <c r="F26" s="46" t="n"/>
      <c r="G26" s="47" t="n"/>
      <c r="H26" s="47" t="n"/>
      <c r="I26" s="47" t="n"/>
      <c r="J26" s="88" t="n"/>
      <c r="K26" s="88" t="n"/>
      <c r="L26" s="48" t="n"/>
      <c r="O26" s="16" t="n"/>
      <c r="P26" s="16" t="n"/>
    </row>
    <row r="27" ht="17.3" customHeight="1" s="49">
      <c r="A27" s="5" t="n"/>
      <c r="B27" s="16" t="n"/>
      <c r="C27" s="16" t="n"/>
      <c r="D27" s="28" t="n"/>
      <c r="E27" s="28" t="n"/>
      <c r="F27" s="46" t="n"/>
      <c r="G27" s="47" t="n"/>
      <c r="H27" s="47" t="n"/>
      <c r="I27" s="47" t="n"/>
      <c r="J27" s="88" t="n"/>
      <c r="K27" s="88" t="n"/>
      <c r="L27" s="89" t="n"/>
    </row>
    <row r="28" ht="17.3" customHeight="1" s="49">
      <c r="A28" s="5" t="n"/>
      <c r="B28" s="16" t="n"/>
      <c r="C28" s="15" t="n"/>
      <c r="D28" s="15" t="n"/>
      <c r="E28" s="15" t="n"/>
      <c r="F28" s="46" t="n"/>
      <c r="G28" s="47" t="n"/>
      <c r="H28" s="47" t="n"/>
      <c r="I28" s="47" t="n"/>
      <c r="J28" s="88" t="n"/>
      <c r="K28" s="88" t="n"/>
      <c r="L28" s="48" t="n"/>
    </row>
    <row r="29" ht="17.3" customHeight="1" s="49">
      <c r="A29" s="5" t="n"/>
      <c r="B29" s="16" t="n"/>
      <c r="C29" s="15" t="n"/>
      <c r="D29" s="15" t="n"/>
      <c r="E29" s="15" t="n"/>
      <c r="F29" s="46" t="n"/>
      <c r="G29" s="47" t="n"/>
      <c r="H29" s="47" t="n"/>
      <c r="I29" s="47" t="n"/>
      <c r="J29" s="88" t="n"/>
      <c r="K29" s="88" t="n"/>
      <c r="L29" s="48" t="n"/>
    </row>
    <row r="30" ht="17.3" customHeight="1" s="49">
      <c r="A30" s="5" t="n"/>
      <c r="B30" s="16" t="n"/>
      <c r="C30" s="16" t="n"/>
      <c r="D30" s="28" t="n"/>
      <c r="E30" s="28" t="n"/>
      <c r="F30" s="46" t="n"/>
      <c r="G30" s="47" t="n"/>
      <c r="H30" s="47" t="n"/>
      <c r="I30" s="47" t="n"/>
      <c r="J30" s="88" t="n"/>
      <c r="K30" s="88" t="n"/>
      <c r="L30" s="89" t="n"/>
    </row>
    <row r="31" ht="17.3" customHeight="1" s="49">
      <c r="A31" s="5" t="n"/>
      <c r="B31" s="17" t="n"/>
      <c r="C31" s="17" t="n"/>
      <c r="D31" s="18" t="n"/>
      <c r="E31" s="18" t="n"/>
      <c r="F31" s="46" t="n"/>
      <c r="G31" s="47" t="n"/>
      <c r="H31" s="47" t="n"/>
      <c r="I31" s="47" t="n"/>
      <c r="J31" s="88" t="n"/>
      <c r="K31" s="88" t="n"/>
      <c r="L31" s="90" t="n"/>
      <c r="M31" s="54" t="n"/>
      <c r="N31" s="54" t="n"/>
    </row>
    <row r="32" ht="17.3" customHeight="1" s="49">
      <c r="A32" s="5" t="n"/>
      <c r="B32" s="17" t="n"/>
      <c r="C32" s="17" t="n"/>
      <c r="D32" s="18" t="n"/>
      <c r="E32" s="18" t="n"/>
      <c r="F32" s="46" t="n"/>
      <c r="G32" s="47" t="n"/>
      <c r="H32" s="47" t="n"/>
      <c r="I32" s="47" t="n"/>
      <c r="J32" s="88" t="n"/>
      <c r="K32" s="88" t="n"/>
      <c r="L32" s="90" t="n"/>
      <c r="M32" s="54" t="n"/>
      <c r="N32" s="54" t="n"/>
    </row>
    <row r="33" ht="17.3" customHeight="1" s="49">
      <c r="A33" s="5" t="n"/>
      <c r="B33" s="62" t="inlineStr">
        <is>
          <t>합계</t>
        </is>
      </c>
      <c r="C33" s="63" t="n"/>
      <c r="D33" s="63" t="n"/>
      <c r="E33" s="63" t="n"/>
      <c r="F33" s="63" t="n"/>
      <c r="G33" s="63" t="n"/>
      <c r="H33" s="63" t="n"/>
      <c r="I33" s="63" t="n"/>
      <c r="J33" s="63" t="n"/>
      <c r="K33" s="19">
        <f>SUM(K16:K32)</f>
        <v/>
      </c>
      <c r="L33" s="91" t="n"/>
      <c r="M33" s="63" t="n"/>
      <c r="N33" s="92" t="n"/>
    </row>
    <row r="34" ht="4.45" customHeight="1" s="49">
      <c r="A34" s="5" t="n"/>
      <c r="B34" s="20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</row>
    <row r="35" ht="17.3" customHeight="1" s="49">
      <c r="A35" s="5" t="n"/>
      <c r="B35" s="21" t="n"/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inlineStr">
        <is>
          <t xml:space="preserve"> </t>
        </is>
      </c>
      <c r="M35" s="22" t="n"/>
      <c r="N35" s="22" t="n"/>
    </row>
    <row r="36" ht="15" customHeight="1" s="49">
      <c r="A36" s="5" t="n"/>
      <c r="B36" s="44" t="inlineStr">
        <is>
          <t xml:space="preserve"> - 당월금액 : </t>
        </is>
      </c>
      <c r="C36" s="45" t="n"/>
      <c r="D36" s="93" t="n">
        <v>0</v>
      </c>
      <c r="E36" s="45" t="n"/>
      <c r="F36" s="45" t="n"/>
      <c r="G36" s="23" t="inlineStr">
        <is>
          <t>원</t>
        </is>
      </c>
      <c r="H36" s="23" t="n"/>
      <c r="I36" s="23" t="n"/>
      <c r="J36" s="94" t="n"/>
      <c r="K36" s="94" t="n"/>
      <c r="L36" s="23" t="n"/>
      <c r="M36" s="23" t="n"/>
      <c r="N36" s="23" t="n"/>
    </row>
    <row r="37" ht="15" customHeight="1" s="49">
      <c r="A37" s="5" t="n"/>
      <c r="B37" s="44" t="inlineStr">
        <is>
          <t xml:space="preserve"> - 당일금액 : </t>
        </is>
      </c>
      <c r="C37" s="45" t="n"/>
      <c r="D37" s="93">
        <f>K33</f>
        <v/>
      </c>
      <c r="E37" s="45" t="n"/>
      <c r="F37" s="45" t="n"/>
      <c r="G37" s="23" t="inlineStr">
        <is>
          <t>원</t>
        </is>
      </c>
      <c r="H37" s="23" t="n"/>
      <c r="I37" s="23" t="n"/>
      <c r="J37" s="23" t="n"/>
      <c r="K37" s="23" t="n"/>
      <c r="L37" s="23" t="n"/>
      <c r="M37" s="23" t="n"/>
      <c r="N37" s="23" t="n"/>
    </row>
    <row r="38" ht="15" customHeight="1" s="49">
      <c r="A38" s="5" t="n"/>
      <c r="B38" s="66" t="inlineStr">
        <is>
          <t xml:space="preserve"> - 총 사용액 : </t>
        </is>
      </c>
      <c r="C38" s="45" t="n"/>
      <c r="D38" s="93">
        <f>D36+D37</f>
        <v/>
      </c>
      <c r="E38" s="45" t="n"/>
      <c r="F38" s="45" t="n"/>
      <c r="G38" s="23" t="inlineStr">
        <is>
          <t>원</t>
        </is>
      </c>
      <c r="H38" s="23" t="n"/>
      <c r="I38" s="23" t="n"/>
      <c r="J38" s="94" t="n"/>
      <c r="K38" s="23" t="n"/>
      <c r="L38" s="23" t="n"/>
      <c r="M38" s="23" t="n"/>
      <c r="N38" s="23" t="n"/>
    </row>
    <row r="39" ht="15" customHeight="1" s="49">
      <c r="A39" s="5" t="n"/>
      <c r="B39" s="44" t="inlineStr">
        <is>
          <t xml:space="preserve"> - 입금액 : </t>
        </is>
      </c>
      <c r="C39" s="45" t="n"/>
      <c r="D39" s="93" t="n"/>
      <c r="E39" s="45" t="n"/>
      <c r="F39" s="45" t="n"/>
      <c r="G39" s="23" t="inlineStr">
        <is>
          <t>원</t>
        </is>
      </c>
      <c r="H39" s="23" t="n"/>
      <c r="I39" s="23" t="n"/>
      <c r="J39" s="23" t="n"/>
      <c r="K39" s="23" t="n"/>
      <c r="L39" s="23" t="n"/>
      <c r="M39" s="23" t="n"/>
      <c r="N39" s="23" t="n"/>
    </row>
    <row r="40" ht="15" customHeight="1" s="49">
      <c r="A40" s="5" t="n"/>
      <c r="B40" s="44" t="inlineStr">
        <is>
          <t xml:space="preserve"> - 합계금액 : </t>
        </is>
      </c>
      <c r="C40" s="45" t="n"/>
      <c r="D40" s="93">
        <f>D38-F39</f>
        <v/>
      </c>
      <c r="E40" s="45" t="n"/>
      <c r="F40" s="45" t="n"/>
      <c r="G40" s="29" t="inlineStr">
        <is>
          <t>원</t>
        </is>
      </c>
      <c r="H40" s="29" t="n"/>
      <c r="I40" s="24" t="n"/>
      <c r="J40" s="24" t="n"/>
      <c r="K40" s="24" t="n"/>
      <c r="L40" s="24" t="n"/>
      <c r="M40" s="24" t="n"/>
      <c r="N40" s="24" t="n"/>
    </row>
    <row r="41" ht="17.3" customHeight="1" s="49">
      <c r="A41" s="5" t="n"/>
      <c r="B41" s="25" t="n"/>
      <c r="C41" s="25" t="n"/>
      <c r="D41" s="25" t="n"/>
      <c r="E41" s="25" t="n"/>
      <c r="F41" s="25" t="n"/>
      <c r="G41" s="25" t="n"/>
      <c r="H41" s="25" t="n"/>
      <c r="I41" s="25" t="n"/>
      <c r="J41" s="25" t="n"/>
      <c r="K41" s="25" t="n"/>
      <c r="L41" s="25" t="n"/>
      <c r="M41" s="25" t="n"/>
      <c r="N41" s="25" t="n"/>
    </row>
    <row r="42" ht="17.3" customHeight="1" s="49">
      <c r="B42" s="26" t="n"/>
      <c r="C42" s="26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26" t="n"/>
      <c r="M42" s="26" t="n"/>
      <c r="N42" s="26" t="n"/>
    </row>
    <row r="43" ht="17.3" customHeight="1" s="49">
      <c r="B43" s="16" t="n"/>
      <c r="C43" s="26" t="n"/>
      <c r="D43" s="26" t="n"/>
      <c r="E43" s="26" t="n"/>
      <c r="F43" s="26" t="n"/>
      <c r="G43" s="95" t="n"/>
      <c r="H43" s="26" t="n"/>
      <c r="I43" s="27" t="n"/>
      <c r="J43" s="88" t="n"/>
      <c r="K43" s="88" t="n"/>
      <c r="L43" s="26" t="n"/>
      <c r="M43" s="26" t="n"/>
      <c r="N43" s="26" t="n"/>
    </row>
    <row r="44" ht="17.3" customHeight="1" s="49">
      <c r="B44" s="16" t="n"/>
      <c r="C44" s="26" t="n"/>
      <c r="D44" s="26" t="n"/>
      <c r="E44" s="26" t="n"/>
      <c r="F44" s="26" t="n"/>
      <c r="G44" s="95" t="n"/>
      <c r="H44" s="26" t="n"/>
      <c r="I44" s="27" t="n"/>
      <c r="J44" s="88" t="n"/>
      <c r="K44" s="88" t="n"/>
      <c r="L44" s="26" t="n"/>
      <c r="M44" s="26" t="n"/>
      <c r="N44" s="26" t="n"/>
    </row>
    <row r="45" ht="17.3" customHeight="1" s="49">
      <c r="K45" s="0" t="n"/>
    </row>
    <row r="46" ht="17.3" customHeight="1" s="49">
      <c r="K46" s="0" t="n"/>
    </row>
    <row r="47" ht="17.3" customHeight="1" s="49">
      <c r="K47" s="0" t="n"/>
    </row>
    <row r="48" ht="17.3" customHeight="1" s="49">
      <c r="K48" s="0" t="n"/>
    </row>
    <row r="49" ht="17.3" customHeight="1" s="49">
      <c r="K49" s="0" t="n"/>
    </row>
    <row r="50" ht="17.3" customHeight="1" s="49"/>
    <row r="51" ht="17.3" customHeight="1" s="49"/>
    <row r="52" ht="17.3" customHeight="1" s="49"/>
    <row r="53" ht="17.3" customHeight="1" s="49"/>
    <row r="54" ht="17.3" customHeight="1" s="49"/>
    <row r="55" ht="17.3" customHeight="1" s="49"/>
    <row r="56" ht="17.3" customHeight="1" s="49"/>
    <row r="57" ht="17.3" customHeight="1" s="49"/>
    <row r="58" ht="17.3" customHeight="1" s="49"/>
    <row r="59" ht="17.3" customHeight="1" s="49"/>
    <row r="60" ht="17.3" customHeight="1" s="49"/>
    <row r="61" ht="17.3" customHeight="1" s="49"/>
    <row r="62" ht="17.3" customHeight="1" s="49"/>
    <row r="63" ht="17.3" customHeight="1" s="49"/>
    <row r="64" ht="17.3" customHeight="1" s="49"/>
    <row r="65" ht="17.3" customHeight="1" s="49"/>
    <row r="66" ht="17.3" customHeight="1" s="49"/>
    <row r="67" ht="17.3" customHeight="1" s="49"/>
    <row r="68" ht="17.3" customHeight="1" s="49"/>
    <row r="69" ht="17.3" customHeight="1" s="49"/>
    <row r="70" ht="17.3" customHeight="1" s="49"/>
    <row r="71" ht="17.3" customHeight="1" s="49"/>
    <row r="72" ht="17.3" customHeight="1" s="49"/>
    <row r="73" ht="17.3" customHeight="1" s="49"/>
    <row r="74" ht="17.3" customHeight="1" s="49"/>
    <row r="75" ht="17.3" customHeight="1" s="49"/>
    <row r="76" ht="17.3" customHeight="1" s="49"/>
    <row r="77" ht="17.3" customHeight="1" s="49"/>
    <row r="78" ht="17.3" customHeight="1" s="49"/>
    <row r="79" ht="17.3" customHeight="1" s="49"/>
    <row r="80" ht="17.3" customHeight="1" s="49"/>
    <row r="81" ht="17.3" customHeight="1" s="49"/>
    <row r="82" ht="17.3" customHeight="1" s="49"/>
    <row r="83" ht="17.3" customHeight="1" s="49"/>
    <row r="84" ht="17.3" customHeight="1" s="49"/>
    <row r="85" ht="17.3" customHeight="1" s="49"/>
    <row r="86" ht="17.3" customHeight="1" s="49"/>
    <row r="87" ht="17.3" customHeight="1" s="49"/>
    <row r="88" ht="17.3" customHeight="1" s="49"/>
    <row r="89" ht="17.3" customHeight="1" s="49"/>
    <row r="90" ht="17.3" customHeight="1" s="49"/>
    <row r="91" ht="17.3" customHeight="1" s="49"/>
    <row r="92" ht="17.3" customHeight="1" s="49"/>
    <row r="93" ht="17.3" customHeight="1" s="49"/>
    <row r="94" ht="17.3" customHeight="1" s="49"/>
    <row r="95" ht="17.3" customHeight="1" s="49"/>
    <row r="96" ht="17.3" customHeight="1" s="49"/>
    <row r="97" ht="17.3" customHeight="1" s="49"/>
    <row r="98" ht="17.3" customHeight="1" s="49"/>
    <row r="99" ht="17.3" customHeight="1" s="49"/>
    <row r="100" ht="17.3" customHeight="1" s="49"/>
    <row r="101" ht="17.3" customHeight="1" s="49"/>
    <row r="102" ht="17.3" customHeight="1" s="49"/>
    <row r="103" ht="17.3" customHeight="1" s="49"/>
    <row r="104" ht="17.3" customHeight="1" s="49"/>
    <row r="105" ht="17.3" customHeight="1" s="49"/>
    <row r="106" ht="17.3" customHeight="1" s="49"/>
    <row r="107" ht="17.3" customHeight="1" s="49"/>
    <row r="108" ht="17.3" customHeight="1" s="49"/>
    <row r="109" ht="17.3" customHeight="1" s="49"/>
    <row r="110" ht="17.3" customHeight="1" s="49"/>
    <row r="111" ht="17.3" customHeight="1" s="49"/>
    <row r="112" ht="17.3" customHeight="1" s="49"/>
    <row r="113" ht="17.3" customHeight="1" s="49"/>
    <row r="114" ht="17.3" customHeight="1" s="49"/>
    <row r="115" ht="17.3" customHeight="1" s="49"/>
    <row r="116" ht="17.3" customHeight="1" s="49"/>
    <row r="117" ht="17.3" customHeight="1" s="49"/>
    <row r="118" ht="17.3" customHeight="1" s="49"/>
    <row r="119" ht="17.3" customHeight="1" s="49"/>
    <row r="120" ht="17.3" customHeight="1" s="49"/>
    <row r="121" ht="17.3" customHeight="1" s="49"/>
    <row r="122" ht="17.3" customHeight="1" s="49"/>
    <row r="123" ht="17.3" customHeight="1" s="49"/>
    <row r="124" ht="17.3" customHeight="1" s="49"/>
    <row r="125" ht="17.3" customHeight="1" s="49"/>
    <row r="126" ht="17.3" customHeight="1" s="49"/>
    <row r="127" ht="17.3" customHeight="1" s="49"/>
    <row r="128" ht="17.3" customHeight="1" s="49"/>
    <row r="129" ht="17.3" customHeight="1" s="49"/>
    <row r="130" ht="17.3" customHeight="1" s="49"/>
    <row r="131" ht="17.3" customHeight="1" s="49"/>
    <row r="132" ht="17.3" customHeight="1" s="49"/>
    <row r="133" ht="17.3" customHeight="1" s="49"/>
    <row r="134" ht="17.3" customHeight="1" s="49"/>
    <row r="135" ht="17.3" customHeight="1" s="49"/>
    <row r="136" ht="17.3" customHeight="1" s="49"/>
    <row r="137" ht="17.3" customHeight="1" s="49"/>
    <row r="138" ht="17.3" customHeight="1" s="49"/>
    <row r="139" ht="17.3" customHeight="1" s="49"/>
    <row r="140" ht="17.3" customHeight="1" s="49"/>
    <row r="141" ht="17.3" customHeight="1" s="49"/>
    <row r="142" ht="17.3" customHeight="1" s="49"/>
    <row r="143" ht="17.3" customHeight="1" s="49"/>
    <row r="144" ht="17.3" customHeight="1" s="49"/>
    <row r="145" ht="17.3" customHeight="1" s="49"/>
    <row r="146" ht="17.3" customHeight="1" s="49"/>
    <row r="147" ht="17.3" customHeight="1" s="49"/>
    <row r="148" ht="17.3" customHeight="1" s="49"/>
    <row r="149" ht="17.3" customHeight="1" s="49"/>
    <row r="150" ht="17.3" customHeight="1" s="49"/>
    <row r="151" ht="17.3" customHeight="1" s="49"/>
    <row r="152" ht="17.3" customHeight="1" s="49"/>
    <row r="153" ht="17.3" customHeight="1" s="49"/>
    <row r="154" ht="17.3" customHeight="1" s="49"/>
    <row r="155" ht="17.3" customHeight="1" s="49"/>
    <row r="156" ht="17.3" customHeight="1" s="49"/>
    <row r="157" ht="17.3" customHeight="1" s="49"/>
    <row r="158" ht="17.3" customHeight="1" s="49"/>
    <row r="159" ht="17.3" customHeight="1" s="49"/>
    <row r="160" ht="17.3" customHeight="1" s="49"/>
    <row r="161" ht="17.3" customHeight="1" s="49"/>
    <row r="162" ht="17.3" customHeight="1" s="49"/>
    <row r="163" ht="17.3" customHeight="1" s="49"/>
    <row r="164" ht="17.3" customHeight="1" s="49"/>
    <row r="165" ht="17.3" customHeight="1" s="49"/>
    <row r="166" ht="17.3" customHeight="1" s="49"/>
    <row r="167" ht="17.3" customHeight="1" s="49"/>
    <row r="168" ht="17.3" customHeight="1" s="49"/>
    <row r="169" ht="17.3" customHeight="1" s="49"/>
    <row r="170" ht="17.3" customHeight="1" s="49"/>
    <row r="171" ht="17.3" customHeight="1" s="49"/>
    <row r="172" ht="17.3" customHeight="1" s="49"/>
    <row r="173" ht="17.3" customHeight="1" s="49"/>
    <row r="174" ht="17.3" customHeight="1" s="49"/>
    <row r="175" ht="17.3" customHeight="1" s="49"/>
    <row r="176" ht="17.3" customHeight="1" s="49"/>
    <row r="177" ht="17.3" customHeight="1" s="49"/>
    <row r="178" ht="17.3" customHeight="1" s="49"/>
    <row r="179" ht="17.3" customHeight="1" s="49"/>
    <row r="180" ht="17.3" customHeight="1" s="49"/>
    <row r="181" ht="17.3" customHeight="1" s="49"/>
    <row r="182" ht="17.3" customHeight="1" s="49"/>
    <row r="183" ht="17.3" customHeight="1" s="49"/>
    <row r="184" ht="17.3" customHeight="1" s="49"/>
    <row r="185" ht="17.3" customHeight="1" s="49"/>
    <row r="186" ht="17.3" customHeight="1" s="49"/>
    <row r="187" ht="17.3" customHeight="1" s="49"/>
    <row r="188" ht="17.3" customHeight="1" s="49"/>
    <row r="189" ht="17.3" customHeight="1" s="49"/>
    <row r="190" ht="17.3" customHeight="1" s="49"/>
    <row r="191" ht="17.3" customHeight="1" s="49"/>
    <row r="192" ht="17.3" customHeight="1" s="49"/>
    <row r="193" ht="17.3" customHeight="1" s="49"/>
    <row r="194" ht="17.3" customHeight="1" s="49"/>
    <row r="195" ht="17.3" customHeight="1" s="49"/>
    <row r="196" ht="17.3" customHeight="1" s="49"/>
    <row r="197" ht="17.3" customHeight="1" s="49"/>
    <row r="198" ht="17.3" customHeight="1" s="49"/>
    <row r="199" ht="17.3" customHeight="1" s="49"/>
    <row r="200" ht="17.3" customHeight="1" s="49"/>
    <row r="201" ht="17.3" customHeight="1" s="49"/>
    <row r="202" ht="17.3" customHeight="1" s="49"/>
    <row r="203" ht="17.3" customHeight="1" s="49"/>
    <row r="204" ht="17.3" customHeight="1" s="49"/>
    <row r="205" ht="17.3" customHeight="1" s="49"/>
    <row r="206" ht="17.3" customHeight="1" s="49"/>
    <row r="207" ht="17.3" customHeight="1" s="49"/>
    <row r="208" ht="17.3" customHeight="1" s="49"/>
    <row r="209" ht="17.3" customHeight="1" s="49"/>
    <row r="210" ht="17.3" customHeight="1" s="49"/>
    <row r="211" ht="17.3" customHeight="1" s="49"/>
    <row r="212" ht="17.3" customHeight="1" s="49"/>
    <row r="213" ht="17.3" customHeight="1" s="49"/>
    <row r="214" ht="17.3" customHeight="1" s="49"/>
    <row r="215" ht="17.3" customHeight="1" s="49"/>
    <row r="216" ht="17.3" customHeight="1" s="49"/>
    <row r="217" ht="17.3" customHeight="1" s="49"/>
    <row r="218" ht="17.3" customHeight="1" s="49"/>
    <row r="219" ht="17.3" customHeight="1" s="49"/>
    <row r="220" ht="17.3" customHeight="1" s="49"/>
    <row r="221" ht="17.3" customHeight="1" s="49"/>
    <row r="222" ht="17.3" customHeight="1" s="49"/>
    <row r="223" ht="17.3" customHeight="1" s="49"/>
    <row r="224" ht="17.3" customHeight="1" s="49"/>
    <row r="225" ht="17.3" customHeight="1" s="49"/>
    <row r="226" ht="17.3" customHeight="1" s="49"/>
    <row r="227" ht="17.3" customHeight="1" s="49"/>
    <row r="228" ht="17.3" customHeight="1" s="49"/>
    <row r="229" ht="17.3" customHeight="1" s="49"/>
    <row r="230" ht="17.3" customHeight="1" s="49"/>
    <row r="231" ht="17.3" customHeight="1" s="49"/>
    <row r="232" ht="17.3" customHeight="1" s="49"/>
    <row r="233" ht="17.3" customHeight="1" s="49"/>
    <row r="234" ht="17.3" customHeight="1" s="49"/>
    <row r="235" ht="17.3" customHeight="1" s="49"/>
    <row r="236" ht="17.3" customHeight="1" s="49"/>
    <row r="237" ht="17.3" customHeight="1" s="49"/>
    <row r="238" ht="17.3" customHeight="1" s="49"/>
    <row r="239" ht="17.3" customHeight="1" s="49"/>
    <row r="240" ht="17.3" customHeight="1" s="49"/>
    <row r="241" ht="17.3" customHeight="1" s="49"/>
    <row r="242" ht="17.3" customHeight="1" s="49"/>
    <row r="243" ht="17.3" customHeight="1" s="49"/>
    <row r="244" ht="17.3" customHeight="1" s="49"/>
    <row r="245" ht="17.3" customHeight="1" s="49"/>
    <row r="246" ht="17.3" customHeight="1" s="49"/>
    <row r="247" ht="17.3" customHeight="1" s="49"/>
    <row r="248" ht="17.3" customHeight="1" s="49"/>
    <row r="249" ht="17.3" customHeight="1" s="49"/>
    <row r="250" ht="17.3" customHeight="1" s="49"/>
    <row r="251" ht="17.3" customHeight="1" s="49"/>
    <row r="252" ht="17.3" customHeight="1" s="49"/>
    <row r="253" ht="17.3" customHeight="1" s="49"/>
    <row r="254" ht="17.3" customHeight="1" s="49"/>
    <row r="255" ht="17.3" customHeight="1" s="49"/>
    <row r="256" ht="17.3" customHeight="1" s="49"/>
    <row r="257" ht="17.3" customHeight="1" s="49"/>
    <row r="258" ht="17.3" customHeight="1" s="49"/>
    <row r="259" ht="17.3" customHeight="1" s="49"/>
    <row r="260" ht="17.3" customHeight="1" s="49"/>
    <row r="261" ht="17.3" customHeight="1" s="49"/>
    <row r="262" ht="17.3" customHeight="1" s="49"/>
    <row r="263" ht="17.3" customHeight="1" s="49"/>
    <row r="264" ht="17.3" customHeight="1" s="49"/>
    <row r="265" ht="17.3" customHeight="1" s="49"/>
    <row r="266" ht="17.3" customHeight="1" s="49"/>
    <row r="267" ht="17.3" customHeight="1" s="49"/>
    <row r="268" ht="17.3" customHeight="1" s="49"/>
    <row r="269" ht="17.3" customHeight="1" s="49"/>
    <row r="270" ht="17.3" customHeight="1" s="49"/>
    <row r="271" ht="17.3" customHeight="1" s="49"/>
    <row r="272" ht="17.3" customHeight="1" s="49"/>
    <row r="273" ht="17.3" customHeight="1" s="49"/>
    <row r="274" ht="17.3" customHeight="1" s="49"/>
    <row r="275" ht="17.3" customHeight="1" s="49"/>
    <row r="276" ht="17.3" customHeight="1" s="49"/>
    <row r="277" ht="17.3" customHeight="1" s="49"/>
    <row r="278" ht="17.3" customHeight="1" s="49"/>
    <row r="279" ht="17.3" customHeight="1" s="49"/>
    <row r="280" ht="17.3" customHeight="1" s="49"/>
    <row r="281" ht="17.3" customHeight="1" s="49"/>
    <row r="282" ht="17.3" customHeight="1" s="49"/>
    <row r="283" ht="17.3" customHeight="1" s="49"/>
    <row r="284" ht="17.3" customHeight="1" s="49"/>
    <row r="285" ht="17.3" customHeight="1" s="49"/>
    <row r="286" ht="17.3" customHeight="1" s="49"/>
    <row r="287" ht="17.3" customHeight="1" s="49"/>
    <row r="288" ht="17.3" customHeight="1" s="49"/>
    <row r="289" ht="17.3" customHeight="1" s="49"/>
    <row r="290" ht="17.3" customHeight="1" s="49"/>
    <row r="291" ht="17.3" customHeight="1" s="49"/>
    <row r="292" ht="17.3" customHeight="1" s="49"/>
    <row r="293" ht="17.3" customHeight="1" s="49"/>
    <row r="294" ht="17.3" customHeight="1" s="49"/>
    <row r="295" ht="17.3" customHeight="1" s="49"/>
    <row r="296" ht="17.3" customHeight="1" s="49"/>
    <row r="297" ht="17.3" customHeight="1" s="49"/>
    <row r="298" ht="17.3" customHeight="1" s="49"/>
    <row r="299" ht="17.3" customHeight="1" s="49"/>
    <row r="300" ht="17.3" customHeight="1" s="49"/>
    <row r="301" ht="17.3" customHeight="1" s="49"/>
    <row r="302" ht="17.3" customHeight="1" s="49"/>
    <row r="303" ht="17.3" customHeight="1" s="49"/>
    <row r="304" ht="17.3" customHeight="1" s="49"/>
    <row r="305" ht="17.3" customHeight="1" s="49"/>
    <row r="306" ht="17.3" customHeight="1" s="49"/>
    <row r="307" ht="17.3" customHeight="1" s="49"/>
    <row r="308" ht="17.3" customHeight="1" s="49"/>
    <row r="309" ht="17.3" customHeight="1" s="49"/>
    <row r="310" ht="17.3" customHeight="1" s="49"/>
    <row r="311" ht="17.3" customHeight="1" s="49"/>
    <row r="312" ht="17.3" customHeight="1" s="49"/>
    <row r="313" ht="17.3" customHeight="1" s="49"/>
    <row r="314" ht="17.3" customHeight="1" s="49"/>
    <row r="315" ht="17.3" customHeight="1" s="49"/>
    <row r="316" ht="17.3" customHeight="1" s="49"/>
    <row r="317" ht="17.3" customHeight="1" s="49"/>
    <row r="318" ht="17.3" customHeight="1" s="49"/>
    <row r="319" ht="17.3" customHeight="1" s="49"/>
    <row r="320" ht="17.3" customHeight="1" s="49"/>
    <row r="321" ht="17.3" customHeight="1" s="49"/>
    <row r="322" ht="17.3" customHeight="1" s="49"/>
    <row r="323" ht="17.3" customHeight="1" s="49"/>
    <row r="324" ht="17.3" customHeight="1" s="49"/>
    <row r="325" ht="17.3" customHeight="1" s="49"/>
    <row r="326" ht="17.3" customHeight="1" s="49"/>
    <row r="327" ht="17.3" customHeight="1" s="49"/>
    <row r="328" ht="17.3" customHeight="1" s="49"/>
    <row r="329" ht="17.3" customHeight="1" s="49"/>
    <row r="330" ht="17.3" customHeight="1" s="49"/>
    <row r="331" ht="17.3" customHeight="1" s="49"/>
    <row r="332" ht="17.3" customHeight="1" s="49"/>
    <row r="333" ht="17.3" customHeight="1" s="49"/>
    <row r="334" ht="17.3" customHeight="1" s="49"/>
    <row r="335" ht="17.3" customHeight="1" s="49"/>
    <row r="336" ht="17.3" customHeight="1" s="49"/>
    <row r="337" ht="17.3" customHeight="1" s="49"/>
    <row r="338" ht="17.3" customHeight="1" s="49"/>
    <row r="339" ht="17.3" customHeight="1" s="49"/>
    <row r="340" ht="17.3" customHeight="1" s="49"/>
    <row r="341" ht="17.3" customHeight="1" s="49"/>
    <row r="342" ht="17.3" customHeight="1" s="49"/>
    <row r="343" ht="17.3" customHeight="1" s="49"/>
    <row r="344" ht="17.3" customHeight="1" s="49"/>
    <row r="345" ht="17.3" customHeight="1" s="49"/>
    <row r="346" ht="17.3" customHeight="1" s="49"/>
    <row r="347" ht="17.3" customHeight="1" s="49"/>
    <row r="348" ht="17.3" customHeight="1" s="49"/>
    <row r="349" ht="17.3" customHeight="1" s="49"/>
    <row r="350" ht="17.3" customHeight="1" s="49"/>
    <row r="351" ht="17.3" customHeight="1" s="49"/>
    <row r="352" ht="17.3" customHeight="1" s="49"/>
    <row r="353" ht="17.3" customHeight="1" s="49"/>
    <row r="354" ht="17.3" customHeight="1" s="49"/>
    <row r="355" ht="17.3" customHeight="1" s="49"/>
    <row r="356" ht="17.3" customHeight="1" s="49"/>
    <row r="357" ht="17.3" customHeight="1" s="49"/>
    <row r="358" ht="17.3" customHeight="1" s="49"/>
    <row r="359" ht="17.3" customHeight="1" s="49"/>
    <row r="360" ht="17.3" customHeight="1" s="49"/>
    <row r="361" ht="17.3" customHeight="1" s="49"/>
    <row r="362" ht="17.3" customHeight="1" s="49"/>
    <row r="363" ht="17.3" customHeight="1" s="49"/>
    <row r="364" ht="17.3" customHeight="1" s="49"/>
    <row r="365" ht="17.3" customHeight="1" s="49"/>
    <row r="366" ht="17.3" customHeight="1" s="49"/>
    <row r="367" ht="17.3" customHeight="1" s="49"/>
    <row r="368" ht="17.3" customHeight="1" s="49"/>
    <row r="369" ht="17.3" customHeight="1" s="49"/>
    <row r="370" ht="17.3" customHeight="1" s="49"/>
    <row r="371" ht="17.3" customHeight="1" s="49"/>
    <row r="372" ht="17.3" customHeight="1" s="49"/>
    <row r="373" ht="17.3" customHeight="1" s="49"/>
    <row r="374" ht="17.3" customHeight="1" s="49"/>
    <row r="375" ht="17.3" customHeight="1" s="49"/>
    <row r="376" ht="17.3" customHeight="1" s="49"/>
    <row r="377" ht="17.3" customHeight="1" s="49"/>
    <row r="378" ht="17.3" customHeight="1" s="49"/>
    <row r="379" ht="17.3" customHeight="1" s="49"/>
    <row r="380" ht="17.3" customHeight="1" s="49"/>
    <row r="381" ht="17.3" customHeight="1" s="49"/>
    <row r="382" ht="17.3" customHeight="1" s="49"/>
    <row r="383" ht="17.3" customHeight="1" s="49"/>
    <row r="384" ht="17.3" customHeight="1" s="49"/>
    <row r="385" ht="17.3" customHeight="1" s="49"/>
    <row r="386" ht="17.3" customHeight="1" s="49"/>
    <row r="387" ht="17.3" customHeight="1" s="49"/>
    <row r="388" ht="17.3" customHeight="1" s="49"/>
    <row r="389" ht="17.3" customHeight="1" s="49"/>
    <row r="390" ht="17.3" customHeight="1" s="49"/>
    <row r="391" ht="17.3" customHeight="1" s="49"/>
    <row r="392" ht="17.3" customHeight="1" s="49"/>
    <row r="393" ht="17.3" customHeight="1" s="49"/>
    <row r="394" ht="17.3" customHeight="1" s="49"/>
    <row r="395" ht="17.3" customHeight="1" s="49"/>
    <row r="396" ht="17.3" customHeight="1" s="49"/>
    <row r="397" ht="17.3" customHeight="1" s="49"/>
    <row r="398" ht="17.3" customHeight="1" s="49"/>
    <row r="399" ht="17.3" customHeight="1" s="49"/>
    <row r="400" ht="17.3" customHeight="1" s="49"/>
    <row r="401" ht="17.3" customHeight="1" s="49"/>
    <row r="402" ht="17.3" customHeight="1" s="49"/>
    <row r="403" ht="17.3" customHeight="1" s="49"/>
    <row r="404" ht="17.3" customHeight="1" s="49"/>
    <row r="405" ht="17.3" customHeight="1" s="49"/>
    <row r="406" ht="17.3" customHeight="1" s="49"/>
    <row r="407" ht="17.3" customHeight="1" s="49"/>
    <row r="408" ht="17.3" customHeight="1" s="49"/>
    <row r="409" ht="17.3" customHeight="1" s="49"/>
    <row r="410" ht="17.3" customHeight="1" s="49"/>
    <row r="411" ht="17.3" customHeight="1" s="49"/>
    <row r="412" ht="17.3" customHeight="1" s="49"/>
    <row r="413" ht="17.3" customHeight="1" s="49"/>
    <row r="414" ht="17.3" customHeight="1" s="49"/>
    <row r="415" ht="17.3" customHeight="1" s="49"/>
    <row r="416" ht="17.3" customHeight="1" s="49"/>
    <row r="417" ht="17.3" customHeight="1" s="49"/>
    <row r="418" ht="17.3" customHeight="1" s="49"/>
    <row r="419" ht="17.3" customHeight="1" s="49"/>
    <row r="420" ht="17.3" customHeight="1" s="49"/>
    <row r="421" ht="17.3" customHeight="1" s="49"/>
    <row r="422" ht="17.3" customHeight="1" s="49"/>
    <row r="423" ht="17.3" customHeight="1" s="49"/>
    <row r="424" ht="17.3" customHeight="1" s="49"/>
    <row r="425" ht="17.3" customHeight="1" s="49"/>
    <row r="426" ht="17.3" customHeight="1" s="49"/>
    <row r="427" ht="17.3" customHeight="1" s="49"/>
    <row r="428" ht="17.3" customHeight="1" s="49"/>
    <row r="429" ht="17.3" customHeight="1" s="49"/>
    <row r="430" ht="17.3" customHeight="1" s="49"/>
    <row r="431" ht="17.3" customHeight="1" s="49"/>
    <row r="432" ht="17.3" customHeight="1" s="49"/>
    <row r="433" ht="17.3" customHeight="1" s="49"/>
    <row r="434" ht="17.3" customHeight="1" s="49"/>
    <row r="435" ht="17.3" customHeight="1" s="49"/>
    <row r="436" ht="17.3" customHeight="1" s="49"/>
    <row r="437" ht="17.3" customHeight="1" s="49"/>
    <row r="438" ht="17.3" customHeight="1" s="49"/>
    <row r="439" ht="17.3" customHeight="1" s="49"/>
    <row r="440" ht="17.3" customHeight="1" s="49"/>
    <row r="441" ht="17.3" customHeight="1" s="49"/>
    <row r="442" ht="17.3" customHeight="1" s="49"/>
    <row r="443" ht="17.3" customHeight="1" s="49"/>
    <row r="444" ht="17.3" customHeight="1" s="49"/>
    <row r="445" ht="17.3" customHeight="1" s="49"/>
    <row r="446" ht="17.3" customHeight="1" s="49"/>
    <row r="447" ht="17.3" customHeight="1" s="49"/>
    <row r="448" ht="17.3" customHeight="1" s="49"/>
    <row r="449" ht="17.3" customHeight="1" s="49"/>
    <row r="450" ht="17.3" customHeight="1" s="49"/>
    <row r="451" ht="17.3" customHeight="1" s="49"/>
    <row r="452" ht="17.3" customHeight="1" s="49"/>
    <row r="453" ht="17.3" customHeight="1" s="49"/>
    <row r="454" ht="17.3" customHeight="1" s="49"/>
    <row r="455" ht="17.3" customHeight="1" s="49"/>
    <row r="456" ht="17.3" customHeight="1" s="49"/>
    <row r="457" ht="17.3" customHeight="1" s="49"/>
    <row r="458" ht="17.3" customHeight="1" s="49"/>
    <row r="459" ht="17.3" customHeight="1" s="49"/>
    <row r="460" ht="17.3" customHeight="1" s="49"/>
    <row r="461" ht="17.3" customHeight="1" s="49"/>
    <row r="462" ht="17.3" customHeight="1" s="49"/>
    <row r="463" ht="17.3" customHeight="1" s="49"/>
    <row r="464" ht="17.3" customHeight="1" s="49"/>
    <row r="465" ht="17.3" customHeight="1" s="49"/>
    <row r="466" ht="17.3" customHeight="1" s="49"/>
    <row r="467" ht="17.3" customHeight="1" s="49"/>
    <row r="468" ht="17.3" customHeight="1" s="49"/>
    <row r="469" ht="17.3" customHeight="1" s="49"/>
    <row r="470" ht="17.3" customHeight="1" s="49"/>
    <row r="471" ht="17.3" customHeight="1" s="49"/>
    <row r="472" ht="17.3" customHeight="1" s="49"/>
    <row r="473" ht="17.3" customHeight="1" s="49"/>
    <row r="474" ht="17.3" customHeight="1" s="49"/>
    <row r="475" ht="17.3" customHeight="1" s="49"/>
    <row r="476" ht="17.3" customHeight="1" s="49"/>
    <row r="477" ht="17.3" customHeight="1" s="49"/>
    <row r="478" ht="17.3" customHeight="1" s="49"/>
    <row r="479" ht="17.3" customHeight="1" s="49"/>
    <row r="480" ht="17.3" customHeight="1" s="49"/>
    <row r="481" ht="17.3" customHeight="1" s="49"/>
    <row r="482" ht="17.3" customHeight="1" s="49"/>
    <row r="483" ht="17.3" customHeight="1" s="49"/>
    <row r="484" ht="17.3" customHeight="1" s="49"/>
    <row r="485" ht="17.3" customHeight="1" s="49"/>
    <row r="486" ht="17.3" customHeight="1" s="49"/>
    <row r="487" ht="17.3" customHeight="1" s="49"/>
    <row r="488" ht="17.3" customHeight="1" s="49"/>
    <row r="489" ht="17.3" customHeight="1" s="49"/>
    <row r="490" ht="17.3" customHeight="1" s="49"/>
    <row r="491" ht="17.3" customHeight="1" s="49"/>
    <row r="492" ht="17.3" customHeight="1" s="49"/>
    <row r="493" ht="17.3" customHeight="1" s="49"/>
    <row r="494" ht="17.3" customHeight="1" s="49"/>
    <row r="495" ht="17.3" customHeight="1" s="49"/>
    <row r="496" ht="17.3" customHeight="1" s="49"/>
    <row r="497" ht="17.3" customHeight="1" s="49"/>
    <row r="498" ht="17.3" customHeight="1" s="49"/>
    <row r="499" ht="17.3" customHeight="1" s="49"/>
    <row r="500" ht="17.3" customHeight="1" s="49"/>
    <row r="501" ht="17.3" customHeight="1" s="49"/>
    <row r="502" ht="17.3" customHeight="1" s="49"/>
    <row r="503" ht="17.3" customHeight="1" s="49"/>
    <row r="504" ht="17.3" customHeight="1" s="49"/>
    <row r="505" ht="17.3" customHeight="1" s="49"/>
    <row r="506" ht="17.3" customHeight="1" s="49"/>
    <row r="507" ht="17.3" customHeight="1" s="49"/>
    <row r="508" ht="17.3" customHeight="1" s="49"/>
    <row r="509" ht="17.3" customHeight="1" s="49"/>
    <row r="510" ht="17.3" customHeight="1" s="49"/>
    <row r="511" ht="17.3" customHeight="1" s="49"/>
    <row r="512" ht="17.3" customHeight="1" s="49"/>
    <row r="513" ht="17.3" customHeight="1" s="49"/>
    <row r="514" ht="17.3" customHeight="1" s="49"/>
    <row r="515" ht="17.3" customHeight="1" s="49"/>
    <row r="516" ht="17.3" customHeight="1" s="49"/>
    <row r="517" ht="17.3" customHeight="1" s="49"/>
    <row r="518" ht="17.3" customHeight="1" s="49"/>
    <row r="519" ht="17.3" customHeight="1" s="49"/>
    <row r="520" ht="17.3" customHeight="1" s="49"/>
    <row r="521" ht="17.3" customHeight="1" s="49"/>
    <row r="522" ht="17.3" customHeight="1" s="49"/>
    <row r="523" ht="17.3" customHeight="1" s="49"/>
    <row r="524" ht="17.3" customHeight="1" s="49"/>
    <row r="525" ht="17.3" customHeight="1" s="49"/>
    <row r="526" ht="17.3" customHeight="1" s="49"/>
    <row r="527" ht="17.3" customHeight="1" s="49"/>
    <row r="528" ht="17.3" customHeight="1" s="49"/>
    <row r="529" ht="17.3" customHeight="1" s="49"/>
    <row r="530" ht="17.3" customHeight="1" s="49"/>
    <row r="531" ht="17.3" customHeight="1" s="49"/>
    <row r="532" ht="17.3" customHeight="1" s="49"/>
    <row r="533" ht="17.3" customHeight="1" s="49"/>
    <row r="534" ht="17.3" customHeight="1" s="49"/>
    <row r="535" ht="17.3" customHeight="1" s="49"/>
    <row r="536" ht="17.3" customHeight="1" s="49"/>
    <row r="537" ht="17.3" customHeight="1" s="49"/>
    <row r="538" ht="17.3" customHeight="1" s="49"/>
    <row r="539" ht="17.3" customHeight="1" s="49"/>
    <row r="540" ht="17.3" customHeight="1" s="49"/>
    <row r="541" ht="17.3" customHeight="1" s="49"/>
    <row r="542" ht="17.3" customHeight="1" s="49"/>
    <row r="543" ht="17.3" customHeight="1" s="49"/>
    <row r="544" ht="17.3" customHeight="1" s="49"/>
    <row r="545" ht="17.3" customHeight="1" s="49"/>
    <row r="546" ht="17.3" customHeight="1" s="49"/>
    <row r="547" ht="17.3" customHeight="1" s="49"/>
    <row r="548" ht="17.3" customHeight="1" s="49"/>
    <row r="549" ht="17.3" customHeight="1" s="49"/>
    <row r="550" ht="17.3" customHeight="1" s="49"/>
    <row r="551" ht="17.3" customHeight="1" s="49"/>
    <row r="552" ht="17.3" customHeight="1" s="49"/>
    <row r="553" ht="17.3" customHeight="1" s="49"/>
    <row r="554" ht="17.3" customHeight="1" s="49"/>
    <row r="555" ht="17.3" customHeight="1" s="49"/>
    <row r="556" ht="17.3" customHeight="1" s="49"/>
    <row r="557" ht="17.3" customHeight="1" s="49"/>
    <row r="558" ht="17.3" customHeight="1" s="49"/>
    <row r="559" ht="17.3" customHeight="1" s="49"/>
    <row r="560" ht="17.3" customHeight="1" s="49"/>
    <row r="561" ht="17.3" customHeight="1" s="49"/>
    <row r="562" ht="17.3" customHeight="1" s="49"/>
    <row r="563" ht="17.3" customHeight="1" s="49"/>
    <row r="564" ht="17.3" customHeight="1" s="49"/>
    <row r="565" ht="17.3" customHeight="1" s="49"/>
    <row r="566" ht="17.3" customHeight="1" s="49"/>
    <row r="567" ht="17.3" customHeight="1" s="49"/>
    <row r="568" ht="17.3" customHeight="1" s="49"/>
    <row r="569" ht="17.3" customHeight="1" s="49"/>
    <row r="570" ht="17.3" customHeight="1" s="49"/>
    <row r="571" ht="17.3" customHeight="1" s="49"/>
    <row r="572" ht="17.3" customHeight="1" s="49"/>
    <row r="573" ht="17.3" customHeight="1" s="49"/>
    <row r="574" ht="17.3" customHeight="1" s="49"/>
    <row r="575" ht="17.3" customHeight="1" s="49"/>
    <row r="576" ht="17.3" customHeight="1" s="49"/>
    <row r="577" ht="17.3" customHeight="1" s="49"/>
    <row r="578" ht="17.3" customHeight="1" s="49"/>
    <row r="579" ht="17.3" customHeight="1" s="49"/>
    <row r="580" ht="17.3" customHeight="1" s="49"/>
    <row r="581" ht="17.3" customHeight="1" s="49"/>
    <row r="582" ht="17.3" customHeight="1" s="49"/>
    <row r="583" ht="17.3" customHeight="1" s="49"/>
    <row r="584" ht="17.3" customHeight="1" s="49"/>
    <row r="585" ht="17.3" customHeight="1" s="49"/>
    <row r="586" ht="17.3" customHeight="1" s="49"/>
    <row r="587" ht="17.3" customHeight="1" s="49"/>
    <row r="588" ht="17.3" customHeight="1" s="49"/>
    <row r="589" ht="17.3" customHeight="1" s="49"/>
    <row r="590" ht="17.3" customHeight="1" s="49"/>
    <row r="591" ht="17.3" customHeight="1" s="49"/>
    <row r="592" ht="17.3" customHeight="1" s="49"/>
    <row r="593" ht="17.3" customHeight="1" s="49"/>
    <row r="594" ht="17.3" customHeight="1" s="49"/>
    <row r="595" ht="17.3" customHeight="1" s="49"/>
    <row r="596" ht="17.3" customHeight="1" s="49"/>
    <row r="597" ht="17.3" customHeight="1" s="49"/>
    <row r="598" ht="17.3" customHeight="1" s="49"/>
    <row r="599" ht="17.3" customHeight="1" s="49"/>
    <row r="600" ht="17.3" customHeight="1" s="49"/>
    <row r="601" ht="17.3" customHeight="1" s="49"/>
    <row r="602" ht="17.3" customHeight="1" s="49"/>
    <row r="603" ht="17.3" customHeight="1" s="49"/>
    <row r="604" ht="17.3" customHeight="1" s="49"/>
    <row r="605" ht="17.3" customHeight="1" s="49"/>
    <row r="606" ht="17.3" customHeight="1" s="49"/>
    <row r="607" ht="17.3" customHeight="1" s="49"/>
    <row r="608" ht="17.3" customHeight="1" s="49"/>
    <row r="609" ht="17.3" customHeight="1" s="49"/>
    <row r="610" ht="17.3" customHeight="1" s="49"/>
    <row r="611" ht="17.3" customHeight="1" s="49"/>
    <row r="612" ht="17.3" customHeight="1" s="49"/>
    <row r="613" ht="17.3" customHeight="1" s="49"/>
    <row r="614" ht="17.3" customHeight="1" s="49"/>
    <row r="615" ht="17.3" customHeight="1" s="49"/>
    <row r="616" ht="17.3" customHeight="1" s="49"/>
    <row r="617" ht="17.3" customHeight="1" s="49"/>
    <row r="618" ht="17.3" customHeight="1" s="49"/>
    <row r="619" ht="17.3" customHeight="1" s="49"/>
    <row r="620" ht="17.3" customHeight="1" s="49"/>
    <row r="621" ht="17.3" customHeight="1" s="49"/>
    <row r="622" ht="17.3" customHeight="1" s="49"/>
    <row r="623" ht="17.3" customHeight="1" s="49"/>
    <row r="624" ht="17.3" customHeight="1" s="49"/>
    <row r="625" ht="17.3" customHeight="1" s="49"/>
    <row r="626" ht="17.3" customHeight="1" s="49"/>
    <row r="627" ht="17.3" customHeight="1" s="49"/>
    <row r="628" ht="17.3" customHeight="1" s="49"/>
    <row r="629" ht="17.3" customHeight="1" s="49"/>
    <row r="630" ht="17.3" customHeight="1" s="49"/>
    <row r="631" ht="17.3" customHeight="1" s="49"/>
    <row r="632" ht="17.3" customHeight="1" s="49"/>
    <row r="633" ht="17.3" customHeight="1" s="49"/>
    <row r="634" ht="17.3" customHeight="1" s="49"/>
    <row r="635" ht="17.3" customHeight="1" s="49"/>
    <row r="636" ht="17.3" customHeight="1" s="49"/>
    <row r="637" ht="17.3" customHeight="1" s="49"/>
    <row r="638" ht="17.3" customHeight="1" s="49"/>
    <row r="639" ht="17.3" customHeight="1" s="49"/>
    <row r="640" ht="17.3" customHeight="1" s="49"/>
    <row r="641" ht="17.3" customHeight="1" s="49"/>
    <row r="642" ht="17.3" customHeight="1" s="49"/>
    <row r="643" ht="17.3" customHeight="1" s="49"/>
    <row r="644" ht="17.3" customHeight="1" s="49"/>
    <row r="645" ht="17.3" customHeight="1" s="49"/>
    <row r="646" ht="17.3" customHeight="1" s="49"/>
    <row r="647" ht="17.3" customHeight="1" s="49"/>
    <row r="648" ht="17.3" customHeight="1" s="49"/>
    <row r="649" ht="17.3" customHeight="1" s="49"/>
    <row r="650" ht="17.3" customHeight="1" s="49"/>
    <row r="651" ht="17.3" customHeight="1" s="49"/>
    <row r="652" ht="17.3" customHeight="1" s="49"/>
    <row r="653" ht="17.3" customHeight="1" s="49"/>
    <row r="654" ht="17.3" customHeight="1" s="49"/>
    <row r="655" ht="17.3" customHeight="1" s="49"/>
    <row r="656" ht="17.3" customHeight="1" s="49"/>
    <row r="657" ht="17.3" customHeight="1" s="49"/>
    <row r="658" ht="17.3" customHeight="1" s="49"/>
    <row r="659" ht="17.3" customHeight="1" s="49"/>
    <row r="660" ht="17.3" customHeight="1" s="49"/>
    <row r="661" ht="17.3" customHeight="1" s="49"/>
    <row r="662" ht="17.3" customHeight="1" s="49"/>
    <row r="663" ht="17.3" customHeight="1" s="49"/>
    <row r="664" ht="17.3" customHeight="1" s="49"/>
    <row r="665" ht="17.3" customHeight="1" s="49"/>
    <row r="666" ht="17.3" customHeight="1" s="49"/>
    <row r="667" ht="17.3" customHeight="1" s="49"/>
    <row r="668" ht="17.3" customHeight="1" s="49"/>
    <row r="669" ht="17.3" customHeight="1" s="49"/>
    <row r="670" ht="17.3" customHeight="1" s="49"/>
    <row r="671" ht="17.3" customHeight="1" s="49"/>
    <row r="672" ht="17.3" customHeight="1" s="49"/>
    <row r="673" ht="17.3" customHeight="1" s="49"/>
    <row r="674" ht="17.3" customHeight="1" s="49"/>
    <row r="675" ht="17.3" customHeight="1" s="49"/>
    <row r="676" ht="17.3" customHeight="1" s="49"/>
    <row r="677" ht="17.3" customHeight="1" s="49"/>
    <row r="678" ht="17.3" customHeight="1" s="49"/>
    <row r="679" ht="17.3" customHeight="1" s="49"/>
    <row r="680" ht="17.3" customHeight="1" s="49"/>
    <row r="681" ht="17.3" customHeight="1" s="49"/>
    <row r="682" ht="17.3" customHeight="1" s="49"/>
    <row r="683" ht="17.3" customHeight="1" s="49"/>
    <row r="684" ht="17.3" customHeight="1" s="49"/>
    <row r="685" ht="17.3" customHeight="1" s="49"/>
    <row r="686" ht="17.3" customHeight="1" s="49"/>
    <row r="687" ht="17.3" customHeight="1" s="49"/>
    <row r="688" ht="17.3" customHeight="1" s="49"/>
    <row r="689" ht="17.3" customHeight="1" s="49"/>
    <row r="690" ht="17.3" customHeight="1" s="49"/>
    <row r="691" ht="17.3" customHeight="1" s="49"/>
    <row r="692" ht="17.3" customHeight="1" s="49"/>
    <row r="693" ht="17.3" customHeight="1" s="49"/>
    <row r="694" ht="17.3" customHeight="1" s="49"/>
    <row r="695" ht="17.3" customHeight="1" s="49"/>
    <row r="696" ht="17.3" customHeight="1" s="49"/>
    <row r="697" ht="17.3" customHeight="1" s="49"/>
    <row r="698" ht="17.3" customHeight="1" s="49"/>
    <row r="699" ht="17.3" customHeight="1" s="49"/>
    <row r="700" ht="17.3" customHeight="1" s="49"/>
    <row r="701" ht="17.3" customHeight="1" s="49"/>
    <row r="702" ht="17.3" customHeight="1" s="49"/>
    <row r="703" ht="17.3" customHeight="1" s="49"/>
    <row r="704" ht="17.3" customHeight="1" s="49"/>
    <row r="705" ht="17.3" customHeight="1" s="49"/>
    <row r="706" ht="17.3" customHeight="1" s="49"/>
    <row r="707" ht="17.3" customHeight="1" s="49"/>
    <row r="708" ht="17.3" customHeight="1" s="49"/>
    <row r="709" ht="17.3" customHeight="1" s="49"/>
    <row r="710" ht="17.3" customHeight="1" s="49"/>
    <row r="711" ht="17.3" customHeight="1" s="49"/>
    <row r="712" ht="17.3" customHeight="1" s="49"/>
    <row r="713" ht="17.3" customHeight="1" s="49"/>
    <row r="714" ht="17.3" customHeight="1" s="49"/>
    <row r="715" ht="17.3" customHeight="1" s="49"/>
    <row r="716" ht="17.3" customHeight="1" s="49"/>
    <row r="717" ht="17.3" customHeight="1" s="49"/>
    <row r="718" ht="17.3" customHeight="1" s="49"/>
    <row r="719" ht="17.3" customHeight="1" s="49"/>
    <row r="720" ht="17.3" customHeight="1" s="49"/>
    <row r="721" ht="17.3" customHeight="1" s="49"/>
    <row r="722" ht="17.3" customHeight="1" s="49"/>
    <row r="723" ht="17.3" customHeight="1" s="49"/>
    <row r="724" ht="17.3" customHeight="1" s="49"/>
    <row r="725" ht="17.3" customHeight="1" s="49"/>
    <row r="726" ht="17.3" customHeight="1" s="49"/>
    <row r="727" ht="17.3" customHeight="1" s="49"/>
    <row r="728" ht="17.3" customHeight="1" s="49"/>
    <row r="729" ht="17.3" customHeight="1" s="49"/>
    <row r="730" ht="17.3" customHeight="1" s="49"/>
    <row r="731" ht="17.3" customHeight="1" s="49"/>
    <row r="732" ht="17.3" customHeight="1" s="49"/>
    <row r="733" ht="17.3" customHeight="1" s="49"/>
    <row r="734" ht="17.3" customHeight="1" s="49"/>
    <row r="735" ht="17.3" customHeight="1" s="49"/>
    <row r="736" ht="17.3" customHeight="1" s="49"/>
    <row r="737" ht="17.3" customHeight="1" s="49"/>
    <row r="738" ht="17.3" customHeight="1" s="49"/>
    <row r="739" ht="17.3" customHeight="1" s="49"/>
    <row r="740" ht="17.3" customHeight="1" s="49"/>
    <row r="741" ht="17.3" customHeight="1" s="49"/>
    <row r="742" ht="17.3" customHeight="1" s="49"/>
    <row r="743" ht="17.3" customHeight="1" s="49"/>
    <row r="744" ht="17.3" customHeight="1" s="49"/>
    <row r="745" ht="17.3" customHeight="1" s="49"/>
    <row r="746" ht="17.3" customHeight="1" s="49"/>
    <row r="747" ht="17.3" customHeight="1" s="49"/>
    <row r="748" ht="17.3" customHeight="1" s="49"/>
    <row r="749" ht="17.3" customHeight="1" s="49"/>
    <row r="750" ht="17.3" customHeight="1" s="49"/>
    <row r="751" ht="17.3" customHeight="1" s="49"/>
    <row r="752" ht="17.3" customHeight="1" s="49"/>
    <row r="753" ht="17.3" customHeight="1" s="49"/>
    <row r="754" ht="17.3" customHeight="1" s="49"/>
    <row r="755" ht="17.3" customHeight="1" s="49"/>
    <row r="756" ht="17.3" customHeight="1" s="49"/>
    <row r="757" ht="17.3" customHeight="1" s="49"/>
    <row r="758" ht="17.3" customHeight="1" s="49"/>
    <row r="759" ht="17.3" customHeight="1" s="49"/>
    <row r="760" ht="17.3" customHeight="1" s="49"/>
    <row r="761" ht="17.3" customHeight="1" s="49"/>
    <row r="762" ht="17.3" customHeight="1" s="49"/>
    <row r="763" ht="17.3" customHeight="1" s="49"/>
    <row r="764" ht="17.3" customHeight="1" s="49"/>
    <row r="765" ht="17.3" customHeight="1" s="49"/>
    <row r="766" ht="17.3" customHeight="1" s="49"/>
    <row r="767" ht="17.3" customHeight="1" s="49"/>
    <row r="768" ht="17.3" customHeight="1" s="49"/>
    <row r="769" ht="17.3" customHeight="1" s="49"/>
    <row r="770" ht="17.3" customHeight="1" s="49"/>
    <row r="771" ht="17.3" customHeight="1" s="49"/>
    <row r="772" ht="17.3" customHeight="1" s="49"/>
    <row r="773" ht="17.3" customHeight="1" s="49"/>
    <row r="774" ht="17.3" customHeight="1" s="49"/>
    <row r="775" ht="17.3" customHeight="1" s="49"/>
    <row r="776" ht="17.3" customHeight="1" s="49"/>
    <row r="777" ht="17.3" customHeight="1" s="49"/>
    <row r="778" ht="17.3" customHeight="1" s="49"/>
    <row r="779" ht="17.3" customHeight="1" s="49"/>
    <row r="780" ht="17.3" customHeight="1" s="49"/>
    <row r="781" ht="17.3" customHeight="1" s="49"/>
    <row r="782" ht="17.3" customHeight="1" s="49"/>
    <row r="783" ht="17.3" customHeight="1" s="49"/>
    <row r="784" ht="17.3" customHeight="1" s="49"/>
    <row r="785" ht="17.3" customHeight="1" s="49"/>
    <row r="786" ht="17.3" customHeight="1" s="49"/>
    <row r="787" ht="17.3" customHeight="1" s="49"/>
    <row r="788" ht="17.3" customHeight="1" s="49"/>
    <row r="789" ht="17.3" customHeight="1" s="49"/>
    <row r="790" ht="17.3" customHeight="1" s="49"/>
    <row r="791" ht="17.3" customHeight="1" s="49"/>
    <row r="792" ht="17.3" customHeight="1" s="49"/>
    <row r="793" ht="17.3" customHeight="1" s="49"/>
    <row r="794" ht="17.3" customHeight="1" s="49"/>
    <row r="795" ht="17.3" customHeight="1" s="49"/>
    <row r="796" ht="17.3" customHeight="1" s="49"/>
    <row r="797" ht="17.3" customHeight="1" s="49"/>
    <row r="798" ht="17.3" customHeight="1" s="49"/>
    <row r="799" ht="17.3" customHeight="1" s="49"/>
    <row r="800" ht="17.3" customHeight="1" s="49"/>
    <row r="801" ht="17.3" customHeight="1" s="49"/>
    <row r="802" ht="17.3" customHeight="1" s="49"/>
    <row r="803" ht="17.3" customHeight="1" s="49"/>
    <row r="804" ht="17.3" customHeight="1" s="49"/>
    <row r="805" ht="17.3" customHeight="1" s="49"/>
    <row r="806" ht="17.3" customHeight="1" s="49"/>
    <row r="807" ht="17.3" customHeight="1" s="49"/>
    <row r="808" ht="17.3" customHeight="1" s="49"/>
    <row r="809" ht="17.3" customHeight="1" s="49"/>
    <row r="810" ht="17.3" customHeight="1" s="49"/>
    <row r="811" ht="17.3" customHeight="1" s="49"/>
    <row r="812" ht="17.3" customHeight="1" s="49"/>
    <row r="813" ht="17.3" customHeight="1" s="49"/>
    <row r="814" ht="17.3" customHeight="1" s="49"/>
    <row r="815" ht="17.3" customHeight="1" s="49"/>
    <row r="816" ht="17.3" customHeight="1" s="49"/>
    <row r="817" ht="17.3" customHeight="1" s="49"/>
    <row r="818" ht="17.3" customHeight="1" s="49"/>
    <row r="819" ht="17.3" customHeight="1" s="49"/>
    <row r="820" ht="17.3" customHeight="1" s="49"/>
    <row r="821" ht="17.3" customHeight="1" s="49"/>
    <row r="822" ht="17.3" customHeight="1" s="49"/>
    <row r="823" ht="17.3" customHeight="1" s="49"/>
    <row r="824" ht="17.3" customHeight="1" s="49"/>
    <row r="825" ht="17.3" customHeight="1" s="49"/>
    <row r="826" ht="17.3" customHeight="1" s="49"/>
    <row r="827" ht="17.3" customHeight="1" s="49"/>
    <row r="828" ht="17.3" customHeight="1" s="49"/>
    <row r="829" ht="17.3" customHeight="1" s="49"/>
    <row r="830" ht="17.3" customHeight="1" s="49"/>
    <row r="831" ht="17.3" customHeight="1" s="49"/>
    <row r="832" ht="17.3" customHeight="1" s="49"/>
    <row r="833" ht="17.3" customHeight="1" s="49"/>
    <row r="834" ht="17.3" customHeight="1" s="49"/>
    <row r="835" ht="17.3" customHeight="1" s="49"/>
    <row r="836" ht="17.3" customHeight="1" s="49"/>
    <row r="837" ht="17.3" customHeight="1" s="49"/>
    <row r="838" ht="17.3" customHeight="1" s="49"/>
    <row r="839" ht="17.3" customHeight="1" s="49"/>
    <row r="840" ht="17.3" customHeight="1" s="49"/>
    <row r="841" ht="17.3" customHeight="1" s="49"/>
    <row r="842" ht="17.3" customHeight="1" s="49"/>
    <row r="843" ht="17.3" customHeight="1" s="49"/>
    <row r="844" ht="17.3" customHeight="1" s="49"/>
    <row r="845" ht="17.3" customHeight="1" s="49"/>
    <row r="846" ht="17.3" customHeight="1" s="49"/>
    <row r="847" ht="17.3" customHeight="1" s="49"/>
    <row r="848" ht="17.3" customHeight="1" s="49"/>
    <row r="849" ht="17.3" customHeight="1" s="49"/>
    <row r="850" ht="17.3" customHeight="1" s="49"/>
    <row r="851" ht="17.3" customHeight="1" s="49"/>
    <row r="852" ht="17.3" customHeight="1" s="49"/>
    <row r="853" ht="17.3" customHeight="1" s="49"/>
    <row r="854" ht="17.3" customHeight="1" s="49"/>
    <row r="855" ht="17.3" customHeight="1" s="49"/>
    <row r="856" ht="17.3" customHeight="1" s="49"/>
    <row r="857" ht="17.3" customHeight="1" s="49"/>
    <row r="858" ht="17.3" customHeight="1" s="49"/>
    <row r="859" ht="17.3" customHeight="1" s="49"/>
    <row r="860" ht="17.3" customHeight="1" s="49"/>
    <row r="861" ht="17.3" customHeight="1" s="49"/>
    <row r="862" ht="17.3" customHeight="1" s="49"/>
    <row r="863" ht="17.3" customHeight="1" s="49"/>
    <row r="864" ht="17.3" customHeight="1" s="49"/>
    <row r="865" ht="17.3" customHeight="1" s="49"/>
    <row r="866" ht="17.3" customHeight="1" s="49"/>
    <row r="867" ht="17.3" customHeight="1" s="49"/>
    <row r="868" ht="17.3" customHeight="1" s="49"/>
    <row r="869" ht="17.3" customHeight="1" s="49"/>
    <row r="870" ht="17.3" customHeight="1" s="49"/>
    <row r="871" ht="17.3" customHeight="1" s="49"/>
    <row r="872" ht="17.3" customHeight="1" s="49"/>
    <row r="873" ht="17.3" customHeight="1" s="49"/>
    <row r="874" ht="17.3" customHeight="1" s="49"/>
    <row r="875" ht="17.3" customHeight="1" s="49"/>
    <row r="876" ht="17.3" customHeight="1" s="49"/>
    <row r="877" ht="17.3" customHeight="1" s="49"/>
    <row r="878" ht="17.3" customHeight="1" s="49"/>
    <row r="879" ht="17.3" customHeight="1" s="49"/>
    <row r="880" ht="17.3" customHeight="1" s="49"/>
    <row r="881" ht="17.3" customHeight="1" s="49"/>
    <row r="882" ht="17.3" customHeight="1" s="49"/>
    <row r="883" ht="17.3" customHeight="1" s="49"/>
    <row r="884" ht="17.3" customHeight="1" s="49"/>
    <row r="885" ht="17.3" customHeight="1" s="49"/>
    <row r="886" ht="17.3" customHeight="1" s="49"/>
    <row r="887" ht="17.3" customHeight="1" s="49"/>
    <row r="888" ht="17.3" customHeight="1" s="49"/>
    <row r="889" ht="17.3" customHeight="1" s="49"/>
  </sheetData>
  <mergeCells count="61">
    <mergeCell ref="F31:I31"/>
    <mergeCell ref="F27:I27"/>
    <mergeCell ref="L24:N24"/>
    <mergeCell ref="B7:I7"/>
    <mergeCell ref="L18:N18"/>
    <mergeCell ref="L23:N23"/>
    <mergeCell ref="L30:N30"/>
    <mergeCell ref="B12:N13"/>
    <mergeCell ref="M5:N5"/>
    <mergeCell ref="L26:N26"/>
    <mergeCell ref="L29:N29"/>
    <mergeCell ref="B39:C39"/>
    <mergeCell ref="K6:N6"/>
    <mergeCell ref="L25:N25"/>
    <mergeCell ref="D37:F37"/>
    <mergeCell ref="M10:N10"/>
    <mergeCell ref="L22:N22"/>
    <mergeCell ref="L33:M33"/>
    <mergeCell ref="L31:N31"/>
    <mergeCell ref="F29:I29"/>
    <mergeCell ref="F16:I16"/>
    <mergeCell ref="F19:I19"/>
    <mergeCell ref="D39:F39"/>
    <mergeCell ref="B8:C8"/>
    <mergeCell ref="F25:I25"/>
    <mergeCell ref="B1:N2"/>
    <mergeCell ref="L21:N21"/>
    <mergeCell ref="B4:I5"/>
    <mergeCell ref="B33:J33"/>
    <mergeCell ref="D38:F38"/>
    <mergeCell ref="M7:N7"/>
    <mergeCell ref="B38:C38"/>
    <mergeCell ref="J4:N4"/>
    <mergeCell ref="F28:I28"/>
    <mergeCell ref="K8:N9"/>
    <mergeCell ref="B37:C37"/>
    <mergeCell ref="L27:N27"/>
    <mergeCell ref="F30:I30"/>
    <mergeCell ref="F24:I24"/>
    <mergeCell ref="F15:I15"/>
    <mergeCell ref="F21:I21"/>
    <mergeCell ref="B40:C40"/>
    <mergeCell ref="F20:I20"/>
    <mergeCell ref="L17:N17"/>
    <mergeCell ref="F32:I32"/>
    <mergeCell ref="B6:C6"/>
    <mergeCell ref="L16:N16"/>
    <mergeCell ref="D8:H8"/>
    <mergeCell ref="F18:I18"/>
    <mergeCell ref="L32:N32"/>
    <mergeCell ref="F26:I26"/>
    <mergeCell ref="F17:I17"/>
    <mergeCell ref="J8:J9"/>
    <mergeCell ref="L28:N28"/>
    <mergeCell ref="L19:N19"/>
    <mergeCell ref="D40:F40"/>
    <mergeCell ref="D36:F36"/>
    <mergeCell ref="B36:C36"/>
    <mergeCell ref="D6:I6"/>
    <mergeCell ref="F23:I23"/>
    <mergeCell ref="F22:I22"/>
  </mergeCells>
  <pageMargins left="0.7" right="0.7" top="0.75" bottom="0.75" header="0" footer="0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DoKH_D</dc:creator>
  <dcterms:created xmlns:dcterms="http://purl.org/dc/terms/" xmlns:xsi="http://www.w3.org/2001/XMLSchema-instance" xsi:type="dcterms:W3CDTF">2022-11-25T12:26:20Z</dcterms:created>
  <dcterms:modified xmlns:dcterms="http://purl.org/dc/terms/" xmlns:xsi="http://www.w3.org/2001/XMLSchema-instance" xsi:type="dcterms:W3CDTF">2026-01-28T17:06:50Z</dcterms:modified>
  <cp:lastModifiedBy>Dong GwanDo</cp:lastModifiedBy>
  <cp:lastPrinted>2026-01-11T12:39:29Z</cp:lastPrinted>
</cp:coreProperties>
</file>